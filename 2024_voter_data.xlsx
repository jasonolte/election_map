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Games\Map\"/>
    </mc:Choice>
  </mc:AlternateContent>
  <xr:revisionPtr revIDLastSave="0" documentId="13_ncr:1_{19A802D3-D882-4C78-BE48-1BD98990C069}" xr6:coauthVersionLast="47" xr6:coauthVersionMax="47" xr10:uidLastSave="{00000000-0000-0000-0000-000000000000}"/>
  <bookViews>
    <workbookView xWindow="-110" yWindow="-110" windowWidth="25820" windowHeight="15500" activeTab="1" xr2:uid="{AC097E61-7E17-4F87-9520-3F85ED155064}"/>
  </bookViews>
  <sheets>
    <sheet name="Worksheet" sheetId="1" r:id="rId1"/>
    <sheet name="Lower48Output" sheetId="4" r:id="rId2"/>
    <sheet name="Voter_Turnout" sheetId="3" r:id="rId3"/>
    <sheet name="Wikipedia dat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1" i="1"/>
  <c r="K52" i="1"/>
  <c r="K53" i="1"/>
  <c r="K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1" i="1"/>
  <c r="L52" i="1"/>
  <c r="L53" i="1"/>
  <c r="L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1" i="1"/>
  <c r="W52" i="1"/>
  <c r="W53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1" i="1"/>
  <c r="V52" i="1"/>
  <c r="V53" i="1"/>
  <c r="V2" i="1"/>
  <c r="G51" i="1"/>
  <c r="I51" i="1"/>
  <c r="J51" i="1"/>
  <c r="G52" i="1"/>
  <c r="I52" i="1"/>
  <c r="J52" i="1"/>
  <c r="G53" i="1"/>
  <c r="I53" i="1"/>
  <c r="J53" i="1"/>
  <c r="C51" i="1"/>
  <c r="C52" i="1"/>
  <c r="C5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2" i="1"/>
  <c r="C3" i="1"/>
  <c r="G3" i="1" s="1"/>
  <c r="C4" i="1"/>
  <c r="G4" i="1" s="1"/>
  <c r="C5" i="1"/>
  <c r="G5" i="1" s="1"/>
  <c r="C6" i="1"/>
  <c r="G6" i="1" s="1"/>
  <c r="C7" i="1"/>
  <c r="G7" i="1" s="1"/>
  <c r="C8" i="1"/>
  <c r="G8" i="1" s="1"/>
  <c r="C9" i="1"/>
  <c r="C10" i="1"/>
  <c r="G10" i="1" s="1"/>
  <c r="C11" i="1"/>
  <c r="G11" i="1" s="1"/>
  <c r="C12" i="1"/>
  <c r="G12" i="1" s="1"/>
  <c r="C13" i="1"/>
  <c r="G13" i="1" s="1"/>
  <c r="C14" i="1"/>
  <c r="C15" i="1"/>
  <c r="C16" i="1"/>
  <c r="G16" i="1" s="1"/>
  <c r="C17" i="1"/>
  <c r="C18" i="1"/>
  <c r="C19" i="1"/>
  <c r="G19" i="1" s="1"/>
  <c r="C20" i="1"/>
  <c r="G20" i="1" s="1"/>
  <c r="C21" i="1"/>
  <c r="G21" i="1" s="1"/>
  <c r="C22" i="1"/>
  <c r="G22" i="1" s="1"/>
  <c r="C23" i="1"/>
  <c r="G23" i="1" s="1"/>
  <c r="C24" i="1"/>
  <c r="G24" i="1" s="1"/>
  <c r="C25" i="1"/>
  <c r="C26" i="1"/>
  <c r="C27" i="1"/>
  <c r="C28" i="1"/>
  <c r="C29" i="1"/>
  <c r="C30" i="1"/>
  <c r="G30" i="1" s="1"/>
  <c r="C31" i="1"/>
  <c r="G31" i="1" s="1"/>
  <c r="C32" i="1"/>
  <c r="G32" i="1" s="1"/>
  <c r="C33" i="1"/>
  <c r="G33" i="1" s="1"/>
  <c r="C34" i="1"/>
  <c r="G34" i="1" s="1"/>
  <c r="C35" i="1"/>
  <c r="G35" i="1" s="1"/>
  <c r="C36" i="1"/>
  <c r="G36" i="1" s="1"/>
  <c r="C37" i="1"/>
  <c r="G37" i="1" s="1"/>
  <c r="C38" i="1"/>
  <c r="G38" i="1" s="1"/>
  <c r="C39" i="1"/>
  <c r="G39" i="1" s="1"/>
  <c r="C40" i="1"/>
  <c r="G40" i="1" s="1"/>
  <c r="C41" i="1"/>
  <c r="G41" i="1" s="1"/>
  <c r="C42" i="1"/>
  <c r="C43" i="1"/>
  <c r="C44" i="1"/>
  <c r="C45" i="1"/>
  <c r="C46" i="1"/>
  <c r="C47" i="1"/>
  <c r="G47" i="1" s="1"/>
  <c r="C48" i="1"/>
  <c r="G48" i="1" s="1"/>
  <c r="C49" i="1"/>
  <c r="G49" i="1" s="1"/>
  <c r="C2" i="1"/>
  <c r="G2" i="1" s="1"/>
  <c r="F52" i="1"/>
  <c r="F51" i="1"/>
  <c r="F3" i="1"/>
  <c r="F4" i="1"/>
  <c r="F5" i="1"/>
  <c r="F6" i="1"/>
  <c r="F7" i="1"/>
  <c r="F8" i="1"/>
  <c r="F9" i="1"/>
  <c r="F10" i="1"/>
  <c r="F53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2" i="1"/>
  <c r="G46" i="1" l="1"/>
  <c r="G18" i="1"/>
  <c r="G45" i="1"/>
  <c r="G17" i="1"/>
  <c r="G44" i="1"/>
  <c r="G43" i="1"/>
  <c r="G15" i="1"/>
  <c r="G42" i="1"/>
  <c r="G14" i="1"/>
  <c r="G29" i="1"/>
  <c r="G28" i="1"/>
  <c r="G27" i="1"/>
  <c r="G26" i="1"/>
  <c r="G25" i="1"/>
  <c r="G9" i="1"/>
</calcChain>
</file>

<file path=xl/sharedStrings.xml><?xml version="1.0" encoding="utf-8"?>
<sst xmlns="http://schemas.openxmlformats.org/spreadsheetml/2006/main" count="728" uniqueCount="244">
  <si>
    <t>population</t>
  </si>
  <si>
    <t>nonvoter</t>
  </si>
  <si>
    <t>republican</t>
  </si>
  <si>
    <t>democratic</t>
  </si>
  <si>
    <t>other</t>
  </si>
  <si>
    <t>novote</t>
  </si>
  <si>
    <t>state</t>
  </si>
  <si>
    <t>State or</t>
  </si>
  <si>
    <t>district</t>
  </si>
  <si>
    <t>Trump/Vance</t>
  </si>
  <si>
    <t>Republican</t>
  </si>
  <si>
    <t>Harris/Walz</t>
  </si>
  <si>
    <t>Democratic</t>
  </si>
  <si>
    <t>Stein/Ware</t>
  </si>
  <si>
    <t>Green</t>
  </si>
  <si>
    <t>Kennedy/Shanahan</t>
  </si>
  <si>
    <t>Independent</t>
  </si>
  <si>
    <t>Oliver/Maat</t>
  </si>
  <si>
    <t>Libertarian</t>
  </si>
  <si>
    <t>Others</t>
  </si>
  <si>
    <t>Margin</t>
  </si>
  <si>
    <t>swing[d]</t>
  </si>
  <si>
    <t>Total</t>
  </si>
  <si>
    <t>votes</t>
  </si>
  <si>
    <t>Votes</t>
  </si>
  <si>
    <t>%</t>
  </si>
  <si>
    <t>EV</t>
  </si>
  <si>
    <r>
      <t>Alabama</t>
    </r>
    <r>
      <rPr>
        <vertAlign val="superscript"/>
        <sz val="6"/>
        <color rgb="FF3366CC"/>
        <rFont val="Arial"/>
        <family val="2"/>
      </rPr>
      <t>[489]</t>
    </r>
  </si>
  <si>
    <t>–</t>
  </si>
  <si>
    <r>
      <t>Alaska</t>
    </r>
    <r>
      <rPr>
        <vertAlign val="superscript"/>
        <sz val="6"/>
        <color rgb="FF3366CC"/>
        <rFont val="Arial"/>
        <family val="2"/>
      </rPr>
      <t>[490]</t>
    </r>
  </si>
  <si>
    <r>
      <t>Arizona</t>
    </r>
    <r>
      <rPr>
        <vertAlign val="superscript"/>
        <sz val="6"/>
        <color rgb="FF3366CC"/>
        <rFont val="Arial"/>
        <family val="2"/>
      </rPr>
      <t>[491]</t>
    </r>
  </si>
  <si>
    <r>
      <t>Arkansas</t>
    </r>
    <r>
      <rPr>
        <vertAlign val="superscript"/>
        <sz val="6"/>
        <color rgb="FF3366CC"/>
        <rFont val="Arial"/>
        <family val="2"/>
      </rPr>
      <t>[492]</t>
    </r>
  </si>
  <si>
    <r>
      <t>California</t>
    </r>
    <r>
      <rPr>
        <vertAlign val="superscript"/>
        <sz val="6"/>
        <color rgb="FF3366CC"/>
        <rFont val="Arial"/>
        <family val="2"/>
      </rPr>
      <t>[493]</t>
    </r>
  </si>
  <si>
    <t>−3,194,482</t>
  </si>
  <si>
    <t>−20.14%</t>
  </si>
  <si>
    <r>
      <t>Colorado</t>
    </r>
    <r>
      <rPr>
        <vertAlign val="superscript"/>
        <sz val="6"/>
        <color rgb="FF3366CC"/>
        <rFont val="Arial"/>
        <family val="2"/>
      </rPr>
      <t>[494]</t>
    </r>
  </si>
  <si>
    <t>−350,718</t>
  </si>
  <si>
    <t>−10.99%</t>
  </si>
  <si>
    <r>
      <t>Connecticut</t>
    </r>
    <r>
      <rPr>
        <vertAlign val="superscript"/>
        <sz val="6"/>
        <color rgb="FF3366CC"/>
        <rFont val="Arial"/>
        <family val="2"/>
      </rPr>
      <t>[495]</t>
    </r>
  </si>
  <si>
    <t>−255,135</t>
  </si>
  <si>
    <t>−14.51%</t>
  </si>
  <si>
    <r>
      <t>Delaware</t>
    </r>
    <r>
      <rPr>
        <vertAlign val="superscript"/>
        <sz val="6"/>
        <color rgb="FF3366CC"/>
        <rFont val="Arial"/>
        <family val="2"/>
      </rPr>
      <t>[496][494]</t>
    </r>
  </si>
  <si>
    <t>−75,407</t>
  </si>
  <si>
    <t>−14.70%</t>
  </si>
  <si>
    <r>
      <t>District of Columbia</t>
    </r>
    <r>
      <rPr>
        <vertAlign val="superscript"/>
        <sz val="6"/>
        <color rgb="FF3366CC"/>
        <rFont val="Arial"/>
        <family val="2"/>
      </rPr>
      <t>[497]</t>
    </r>
  </si>
  <si>
    <t>−273,109</t>
  </si>
  <si>
    <t>−83.81%</t>
  </si>
  <si>
    <r>
      <t>Florida</t>
    </r>
    <r>
      <rPr>
        <vertAlign val="superscript"/>
        <sz val="6"/>
        <color rgb="FF3366CC"/>
        <rFont val="Arial"/>
        <family val="2"/>
      </rPr>
      <t>[498]</t>
    </r>
  </si>
  <si>
    <r>
      <t>Georgia</t>
    </r>
    <r>
      <rPr>
        <vertAlign val="superscript"/>
        <sz val="6"/>
        <color rgb="FF3366CC"/>
        <rFont val="Arial"/>
        <family val="2"/>
      </rPr>
      <t>[499]</t>
    </r>
  </si>
  <si>
    <r>
      <t>Hawaii</t>
    </r>
    <r>
      <rPr>
        <vertAlign val="superscript"/>
        <sz val="6"/>
        <color rgb="FF3366CC"/>
        <rFont val="Arial"/>
        <family val="2"/>
      </rPr>
      <t>[500]</t>
    </r>
  </si>
  <si>
    <t>−119,383</t>
  </si>
  <si>
    <t>−23.11%</t>
  </si>
  <si>
    <r>
      <t>Idaho</t>
    </r>
    <r>
      <rPr>
        <vertAlign val="superscript"/>
        <sz val="6"/>
        <color rgb="FF3366CC"/>
        <rFont val="Arial"/>
        <family val="2"/>
      </rPr>
      <t>[501][502]</t>
    </r>
  </si>
  <si>
    <r>
      <t>Illinois</t>
    </r>
    <r>
      <rPr>
        <vertAlign val="superscript"/>
        <sz val="6"/>
        <color rgb="FF3366CC"/>
        <rFont val="Arial"/>
        <family val="2"/>
      </rPr>
      <t>[503][494]</t>
    </r>
  </si>
  <si>
    <t>−613,784</t>
  </si>
  <si>
    <t>−10.90%</t>
  </si>
  <si>
    <r>
      <t>Indiana</t>
    </r>
    <r>
      <rPr>
        <vertAlign val="superscript"/>
        <sz val="6"/>
        <color rgb="FF3366CC"/>
        <rFont val="Arial"/>
        <family val="2"/>
      </rPr>
      <t>[494]</t>
    </r>
  </si>
  <si>
    <r>
      <t>Iowa</t>
    </r>
    <r>
      <rPr>
        <vertAlign val="superscript"/>
        <sz val="6"/>
        <color rgb="FF3366CC"/>
        <rFont val="Arial"/>
        <family val="2"/>
      </rPr>
      <t>[504]</t>
    </r>
  </si>
  <si>
    <r>
      <t>Kansas</t>
    </r>
    <r>
      <rPr>
        <vertAlign val="superscript"/>
        <sz val="6"/>
        <color rgb="FF3366CC"/>
        <rFont val="Arial"/>
        <family val="2"/>
      </rPr>
      <t>[505]</t>
    </r>
  </si>
  <si>
    <r>
      <t>Kentucky</t>
    </r>
    <r>
      <rPr>
        <vertAlign val="superscript"/>
        <sz val="6"/>
        <color rgb="FF3366CC"/>
        <rFont val="Arial"/>
        <family val="2"/>
      </rPr>
      <t>[494]</t>
    </r>
  </si>
  <si>
    <r>
      <t>Louisiana</t>
    </r>
    <r>
      <rPr>
        <vertAlign val="superscript"/>
        <sz val="6"/>
        <color rgb="FF3366CC"/>
        <rFont val="Arial"/>
        <family val="2"/>
      </rPr>
      <t>[506]</t>
    </r>
  </si>
  <si>
    <r>
      <t>Maine</t>
    </r>
    <r>
      <rPr>
        <sz val="7"/>
        <color rgb="FF000000"/>
        <rFont val="Arial"/>
        <family val="2"/>
      </rPr>
      <t> †</t>
    </r>
    <r>
      <rPr>
        <vertAlign val="superscript"/>
        <sz val="6"/>
        <color rgb="FF3366CC"/>
        <rFont val="Arial"/>
        <family val="2"/>
      </rPr>
      <t>[507][494]</t>
    </r>
  </si>
  <si>
    <t>−57,675</t>
  </si>
  <si>
    <t>−6.94%</t>
  </si>
  <si>
    <r>
      <t>ME-1</t>
    </r>
    <r>
      <rPr>
        <i/>
        <sz val="7"/>
        <color rgb="FF202122"/>
        <rFont val="Arial"/>
        <family val="2"/>
      </rPr>
      <t>Tooltip Maine's 1st congressional district</t>
    </r>
    <r>
      <rPr>
        <vertAlign val="superscript"/>
        <sz val="6"/>
        <color rgb="FF3366CC"/>
        <rFont val="Arial"/>
        <family val="2"/>
      </rPr>
      <t>[507][494]</t>
    </r>
  </si>
  <si>
    <t>−93,649</t>
  </si>
  <si>
    <t>−21.60%</t>
  </si>
  <si>
    <r>
      <t>ME-2</t>
    </r>
    <r>
      <rPr>
        <i/>
        <sz val="7"/>
        <color rgb="FF202122"/>
        <rFont val="Arial"/>
        <family val="2"/>
      </rPr>
      <t>Tooltip Maine's 2nd congressional district</t>
    </r>
    <r>
      <rPr>
        <vertAlign val="superscript"/>
        <sz val="6"/>
        <color rgb="FF3366CC"/>
        <rFont val="Arial"/>
        <family val="2"/>
      </rPr>
      <t>[507][494]</t>
    </r>
  </si>
  <si>
    <r>
      <t>Maryland</t>
    </r>
    <r>
      <rPr>
        <vertAlign val="superscript"/>
        <sz val="6"/>
        <color rgb="FF3366CC"/>
        <rFont val="Arial"/>
        <family val="2"/>
      </rPr>
      <t>[508]</t>
    </r>
  </si>
  <si>
    <t>−867,027</t>
  </si>
  <si>
    <t>−28.54%</t>
  </si>
  <si>
    <r>
      <t>Massachusetts</t>
    </r>
    <r>
      <rPr>
        <vertAlign val="superscript"/>
        <sz val="6"/>
        <color rgb="FF3366CC"/>
        <rFont val="Arial"/>
        <family val="2"/>
      </rPr>
      <t>[509][494]</t>
    </r>
  </si>
  <si>
    <t>−875,215</t>
  </si>
  <si>
    <t>−25.20%</t>
  </si>
  <si>
    <r>
      <t>Michigan</t>
    </r>
    <r>
      <rPr>
        <vertAlign val="superscript"/>
        <sz val="6"/>
        <color rgb="FF3366CC"/>
        <rFont val="Arial"/>
        <family val="2"/>
      </rPr>
      <t>[510]</t>
    </r>
  </si>
  <si>
    <r>
      <t>Minnesota</t>
    </r>
    <r>
      <rPr>
        <vertAlign val="superscript"/>
        <sz val="6"/>
        <color rgb="FF3366CC"/>
        <rFont val="Arial"/>
        <family val="2"/>
      </rPr>
      <t>[511]</t>
    </r>
  </si>
  <si>
    <t>−137,947</t>
  </si>
  <si>
    <t>−4.24%</t>
  </si>
  <si>
    <r>
      <t>Mississippi</t>
    </r>
    <r>
      <rPr>
        <vertAlign val="superscript"/>
        <sz val="6"/>
        <color rgb="FF3366CC"/>
        <rFont val="Arial"/>
        <family val="2"/>
      </rPr>
      <t>[512]</t>
    </r>
  </si>
  <si>
    <r>
      <t>Missouri</t>
    </r>
    <r>
      <rPr>
        <vertAlign val="superscript"/>
        <sz val="6"/>
        <color rgb="FF3366CC"/>
        <rFont val="Arial"/>
        <family val="2"/>
      </rPr>
      <t>[513]</t>
    </r>
  </si>
  <si>
    <r>
      <t>Montana</t>
    </r>
    <r>
      <rPr>
        <vertAlign val="superscript"/>
        <sz val="6"/>
        <color rgb="FF3366CC"/>
        <rFont val="Arial"/>
        <family val="2"/>
      </rPr>
      <t>[494]</t>
    </r>
  </si>
  <si>
    <r>
      <t>Nebraska</t>
    </r>
    <r>
      <rPr>
        <sz val="7"/>
        <color rgb="FF202122"/>
        <rFont val="Arial"/>
        <family val="2"/>
      </rPr>
      <t> †</t>
    </r>
    <r>
      <rPr>
        <vertAlign val="superscript"/>
        <sz val="6"/>
        <color rgb="FF3366CC"/>
        <rFont val="Arial"/>
        <family val="2"/>
      </rPr>
      <t>[514][494]</t>
    </r>
  </si>
  <si>
    <r>
      <t>NE-1</t>
    </r>
    <r>
      <rPr>
        <i/>
        <sz val="7"/>
        <color rgb="FF202122"/>
        <rFont val="Arial"/>
        <family val="2"/>
      </rPr>
      <t>Tooltip Nebraska's 1st congressional district</t>
    </r>
    <r>
      <rPr>
        <vertAlign val="superscript"/>
        <sz val="6"/>
        <color rgb="FF3366CC"/>
        <rFont val="Arial"/>
        <family val="2"/>
      </rPr>
      <t>[514][494]</t>
    </r>
  </si>
  <si>
    <r>
      <t>NE-2</t>
    </r>
    <r>
      <rPr>
        <i/>
        <sz val="7"/>
        <color rgb="FF202122"/>
        <rFont val="Arial"/>
        <family val="2"/>
      </rPr>
      <t>Tooltip Nebraska's 2nd congressional district</t>
    </r>
    <r>
      <rPr>
        <vertAlign val="superscript"/>
        <sz val="6"/>
        <color rgb="FF3366CC"/>
        <rFont val="Arial"/>
        <family val="2"/>
      </rPr>
      <t>[514][494]</t>
    </r>
  </si>
  <si>
    <r>
      <t>NE-3</t>
    </r>
    <r>
      <rPr>
        <i/>
        <sz val="7"/>
        <color rgb="FF202122"/>
        <rFont val="Arial"/>
        <family val="2"/>
      </rPr>
      <t>Tooltip Nebraska's 3rd congressional district</t>
    </r>
    <r>
      <rPr>
        <vertAlign val="superscript"/>
        <sz val="6"/>
        <color rgb="FF3366CC"/>
        <rFont val="Arial"/>
        <family val="2"/>
      </rPr>
      <t>[514][494]</t>
    </r>
  </si>
  <si>
    <r>
      <t>Nevada</t>
    </r>
    <r>
      <rPr>
        <vertAlign val="superscript"/>
        <sz val="6"/>
        <color rgb="FF3366CC"/>
        <rFont val="Arial"/>
        <family val="2"/>
      </rPr>
      <t>[515]</t>
    </r>
  </si>
  <si>
    <r>
      <t>New Hampshire</t>
    </r>
    <r>
      <rPr>
        <vertAlign val="superscript"/>
        <sz val="6"/>
        <color rgb="FF3366CC"/>
        <rFont val="Arial"/>
        <family val="2"/>
      </rPr>
      <t>[516]</t>
    </r>
  </si>
  <si>
    <t>−22,965</t>
  </si>
  <si>
    <t>−2.78%</t>
  </si>
  <si>
    <r>
      <t>New Jersey</t>
    </r>
    <r>
      <rPr>
        <vertAlign val="superscript"/>
        <sz val="6"/>
        <color rgb="FF3366CC"/>
        <rFont val="Arial"/>
        <family val="2"/>
      </rPr>
      <t>[517]</t>
    </r>
  </si>
  <si>
    <t>−252,498</t>
  </si>
  <si>
    <t>−5.91%</t>
  </si>
  <si>
    <r>
      <t>New Mexico</t>
    </r>
    <r>
      <rPr>
        <vertAlign val="superscript"/>
        <sz val="6"/>
        <color rgb="FF3366CC"/>
        <rFont val="Arial"/>
        <family val="2"/>
      </rPr>
      <t>[518]</t>
    </r>
  </si>
  <si>
    <t>−55,411</t>
  </si>
  <si>
    <t>−6.00%</t>
  </si>
  <si>
    <r>
      <t>New York</t>
    </r>
    <r>
      <rPr>
        <vertAlign val="superscript"/>
        <sz val="6"/>
        <color rgb="FF3366CC"/>
        <rFont val="Arial"/>
        <family val="2"/>
      </rPr>
      <t>[519]</t>
    </r>
  </si>
  <si>
    <t>−1,040,296</t>
  </si>
  <si>
    <t>−12.60%</t>
  </si>
  <si>
    <r>
      <t>North Carolina</t>
    </r>
    <r>
      <rPr>
        <vertAlign val="superscript"/>
        <sz val="6"/>
        <color rgb="FF3366CC"/>
        <rFont val="Arial"/>
        <family val="2"/>
      </rPr>
      <t>[520]</t>
    </r>
  </si>
  <si>
    <r>
      <t>North Dakota</t>
    </r>
    <r>
      <rPr>
        <vertAlign val="superscript"/>
        <sz val="6"/>
        <color rgb="FF3366CC"/>
        <rFont val="Arial"/>
        <family val="2"/>
      </rPr>
      <t>[521]</t>
    </r>
  </si>
  <si>
    <r>
      <t>Ohio</t>
    </r>
    <r>
      <rPr>
        <vertAlign val="superscript"/>
        <sz val="6"/>
        <color rgb="FF3366CC"/>
        <rFont val="Arial"/>
        <family val="2"/>
      </rPr>
      <t>[522]</t>
    </r>
  </si>
  <si>
    <r>
      <t>Oklahoma</t>
    </r>
    <r>
      <rPr>
        <vertAlign val="superscript"/>
        <sz val="6"/>
        <color rgb="FF3366CC"/>
        <rFont val="Arial"/>
        <family val="2"/>
      </rPr>
      <t>[523]</t>
    </r>
  </si>
  <si>
    <r>
      <t>Oregon</t>
    </r>
    <r>
      <rPr>
        <vertAlign val="superscript"/>
        <sz val="6"/>
        <color rgb="FF3366CC"/>
        <rFont val="Arial"/>
        <family val="2"/>
      </rPr>
      <t>[524]</t>
    </r>
  </si>
  <si>
    <t>−321,120</t>
  </si>
  <si>
    <t>−14.30%</t>
  </si>
  <si>
    <r>
      <t>Pennsylvania</t>
    </r>
    <r>
      <rPr>
        <vertAlign val="superscript"/>
        <sz val="6"/>
        <color rgb="FF3366CC"/>
        <rFont val="Arial"/>
        <family val="2"/>
      </rPr>
      <t>[525]</t>
    </r>
  </si>
  <si>
    <r>
      <t>Rhode Island</t>
    </r>
    <r>
      <rPr>
        <vertAlign val="superscript"/>
        <sz val="6"/>
        <color rgb="FF3366CC"/>
        <rFont val="Arial"/>
        <family val="2"/>
      </rPr>
      <t>[526]</t>
    </r>
  </si>
  <si>
    <t>−70,750</t>
  </si>
  <si>
    <t>−13.78%</t>
  </si>
  <si>
    <r>
      <t>South Carolina</t>
    </r>
    <r>
      <rPr>
        <vertAlign val="superscript"/>
        <sz val="6"/>
        <color rgb="FF3366CC"/>
        <rFont val="Arial"/>
        <family val="2"/>
      </rPr>
      <t>[527]</t>
    </r>
  </si>
  <si>
    <r>
      <t>South Dakota</t>
    </r>
    <r>
      <rPr>
        <vertAlign val="superscript"/>
        <sz val="6"/>
        <color rgb="FF3366CC"/>
        <rFont val="Arial"/>
        <family val="2"/>
      </rPr>
      <t>[528]</t>
    </r>
  </si>
  <si>
    <r>
      <t>Tennessee</t>
    </r>
    <r>
      <rPr>
        <vertAlign val="superscript"/>
        <sz val="6"/>
        <color rgb="FF3366CC"/>
        <rFont val="Arial"/>
        <family val="2"/>
      </rPr>
      <t>[529]</t>
    </r>
  </si>
  <si>
    <r>
      <t>Texas</t>
    </r>
    <r>
      <rPr>
        <vertAlign val="superscript"/>
        <sz val="6"/>
        <color rgb="FF3366CC"/>
        <rFont val="Arial"/>
        <family val="2"/>
      </rPr>
      <t>[530][494]</t>
    </r>
  </si>
  <si>
    <r>
      <t>Utah</t>
    </r>
    <r>
      <rPr>
        <vertAlign val="superscript"/>
        <sz val="6"/>
        <color rgb="FF3366CC"/>
        <rFont val="Arial"/>
        <family val="2"/>
      </rPr>
      <t>[531]</t>
    </r>
  </si>
  <si>
    <r>
      <t>Vermont</t>
    </r>
    <r>
      <rPr>
        <vertAlign val="superscript"/>
        <sz val="6"/>
        <color rgb="FF3366CC"/>
        <rFont val="Arial"/>
        <family val="2"/>
      </rPr>
      <t>[532]</t>
    </r>
  </si>
  <si>
    <t>−116,396</t>
  </si>
  <si>
    <t>−31.51%</t>
  </si>
  <si>
    <r>
      <t>Virginia</t>
    </r>
    <r>
      <rPr>
        <vertAlign val="superscript"/>
        <sz val="6"/>
        <color rgb="FF3366CC"/>
        <rFont val="Arial"/>
        <family val="2"/>
      </rPr>
      <t>[533]</t>
    </r>
  </si>
  <si>
    <t>−260,310</t>
  </si>
  <si>
    <t>−5.78%</t>
  </si>
  <si>
    <r>
      <t>Washington</t>
    </r>
    <r>
      <rPr>
        <vertAlign val="superscript"/>
        <sz val="6"/>
        <color rgb="FF3366CC"/>
        <rFont val="Arial"/>
        <family val="2"/>
      </rPr>
      <t>[534]</t>
    </r>
  </si>
  <si>
    <t>−714,926</t>
  </si>
  <si>
    <t>−18.22%</t>
  </si>
  <si>
    <r>
      <t>West Virginia</t>
    </r>
    <r>
      <rPr>
        <vertAlign val="superscript"/>
        <sz val="6"/>
        <color rgb="FF3366CC"/>
        <rFont val="Arial"/>
        <family val="2"/>
      </rPr>
      <t>[494]</t>
    </r>
  </si>
  <si>
    <r>
      <t>Wisconsin</t>
    </r>
    <r>
      <rPr>
        <vertAlign val="superscript"/>
        <sz val="6"/>
        <color rgb="FF3366CC"/>
        <rFont val="Arial"/>
        <family val="2"/>
      </rPr>
      <t>[535]</t>
    </r>
  </si>
  <si>
    <r>
      <t>Wyoming</t>
    </r>
    <r>
      <rPr>
        <vertAlign val="superscript"/>
        <sz val="6"/>
        <color rgb="FF3366CC"/>
        <rFont val="Arial"/>
        <family val="2"/>
      </rPr>
      <t>[536]</t>
    </r>
  </si>
  <si>
    <t>swing</t>
  </si>
  <si>
    <t>Alabama[489]</t>
  </si>
  <si>
    <t>Alaska[490]</t>
  </si>
  <si>
    <t>Arizona[491]</t>
  </si>
  <si>
    <t>Arkansas[492]</t>
  </si>
  <si>
    <t>California[493]</t>
  </si>
  <si>
    <t>Colorado[494]</t>
  </si>
  <si>
    <t>Connecticut[495]</t>
  </si>
  <si>
    <t>Delaware[496][494]</t>
  </si>
  <si>
    <t>District of Columbia[497]</t>
  </si>
  <si>
    <t>Florida[498]</t>
  </si>
  <si>
    <t>Georgia[499]</t>
  </si>
  <si>
    <t>Hawaii[500]</t>
  </si>
  <si>
    <t>Idaho[501][502]</t>
  </si>
  <si>
    <t>Illinois[503][494]</t>
  </si>
  <si>
    <t>Indiana[494]</t>
  </si>
  <si>
    <t>Iowa[504]</t>
  </si>
  <si>
    <t>Kansas[505]</t>
  </si>
  <si>
    <t>Kentucky[494]</t>
  </si>
  <si>
    <t>Louisiana[506]</t>
  </si>
  <si>
    <t>Maine †[507][494]</t>
  </si>
  <si>
    <t>Maryland[508]</t>
  </si>
  <si>
    <t>Massachusetts[509][494]</t>
  </si>
  <si>
    <t>Michigan[510]</t>
  </si>
  <si>
    <t>Minnesota[511]</t>
  </si>
  <si>
    <t>Mississippi[512]</t>
  </si>
  <si>
    <t>Missouri[513]</t>
  </si>
  <si>
    <t>Montana[494]</t>
  </si>
  <si>
    <t>Nebraska †[514][494]</t>
  </si>
  <si>
    <t>Nevada[515]</t>
  </si>
  <si>
    <t>New Hampshire[516]</t>
  </si>
  <si>
    <t>New Jersey[517]</t>
  </si>
  <si>
    <t>New Mexico[518]</t>
  </si>
  <si>
    <t>New York[519]</t>
  </si>
  <si>
    <t>North Carolina[520]</t>
  </si>
  <si>
    <t>North Dakota[521]</t>
  </si>
  <si>
    <t>Ohio[522]</t>
  </si>
  <si>
    <t>Oklahoma[523]</t>
  </si>
  <si>
    <t>Oregon[524]</t>
  </si>
  <si>
    <t>Pennsylvania[525]</t>
  </si>
  <si>
    <t>Rhode Island[526]</t>
  </si>
  <si>
    <t>South Carolina[527]</t>
  </si>
  <si>
    <t>South Dakota[528]</t>
  </si>
  <si>
    <t>Tennessee[529]</t>
  </si>
  <si>
    <t>Texas[530][494]</t>
  </si>
  <si>
    <t>Utah[531]</t>
  </si>
  <si>
    <t>Vermont[532]</t>
  </si>
  <si>
    <t>Virginia[533]</t>
  </si>
  <si>
    <t>Washington[534]</t>
  </si>
  <si>
    <t>West Virginia[494]</t>
  </si>
  <si>
    <t>Wisconsin[535]</t>
  </si>
  <si>
    <t>Wyoming[536]</t>
  </si>
  <si>
    <t>s</t>
  </si>
  <si>
    <t>k</t>
  </si>
  <si>
    <t>o</t>
  </si>
  <si>
    <t>others</t>
  </si>
  <si>
    <t>STATE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</si>
  <si>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</si>
  <si>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</si>
  <si>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</si>
  <si>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</si>
  <si>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</si>
  <si>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</si>
  <si>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</si>
  <si>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</si>
  <si>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</si>
  <si>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</si>
  <si>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</si>
  <si>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</si>
  <si>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</si>
  <si>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</si>
  <si>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</si>
  <si>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</si>
  <si>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</si>
  <si>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</si>
  <si>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</si>
  <si>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</si>
  <si>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</si>
  <si>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</si>
  <si>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</si>
  <si>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</si>
  <si>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</si>
  <si>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</si>
  <si>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</si>
  <si>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</si>
  <si>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</si>
  <si>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</si>
  <si>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</si>
  <si>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</si>
  <si>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</si>
  <si>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</si>
  <si>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</si>
  <si>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</si>
  <si>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</si>
  <si>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</si>
  <si>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</si>
  <si>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</si>
  <si>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</si>
  <si>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</si>
  <si>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</si>
  <si>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</si>
  <si>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</si>
  <si>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</si>
  <si>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</si>
  <si>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</si>
  <si>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</si>
  <si>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</si>
  <si>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</si>
  <si>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</si>
  <si>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TOTAL_BALLOTS_COUNTED</t>
  </si>
  <si>
    <t>VAP</t>
  </si>
  <si>
    <t>VEP</t>
  </si>
  <si>
    <t>Split1</t>
  </si>
  <si>
    <t>Split2</t>
  </si>
  <si>
    <t>Split3</t>
  </si>
  <si>
    <t>Split4</t>
  </si>
  <si>
    <t>rem2</t>
  </si>
  <si>
    <t>rem3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</si>
</sst>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7"/>
      <color rgb="FF202122"/>
      <name val="Arial"/>
      <family val="2"/>
    </font>
    <font>
      <vertAlign val="superscript"/>
      <sz val="6"/>
      <color rgb="FF3366CC"/>
      <name val="Arial"/>
      <family val="2"/>
    </font>
    <font>
      <sz val="7"/>
      <color rgb="FF202122"/>
      <name val="Arial"/>
      <family val="2"/>
    </font>
    <font>
      <sz val="7"/>
      <color rgb="FF3366CC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i/>
      <sz val="7"/>
      <color rgb="FF202122"/>
      <name val="Arial"/>
      <family val="2"/>
    </font>
    <font>
      <i/>
      <sz val="7"/>
      <color rgb="FF3366CC"/>
      <name val="Arial"/>
      <family val="2"/>
    </font>
    <font>
      <b/>
      <i/>
      <sz val="7"/>
      <color rgb="FF202122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ECF0"/>
        <bgColor indexed="64"/>
      </patternFill>
    </fill>
    <fill>
      <patternFill patternType="solid">
        <fgColor rgb="FFFFB6B6"/>
        <bgColor indexed="64"/>
      </patternFill>
    </fill>
    <fill>
      <patternFill patternType="solid">
        <fgColor rgb="FFB0CE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0" fillId="2" borderId="0" xfId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3" fontId="1" fillId="3" borderId="0" xfId="0" applyNumberFormat="1" applyFont="1" applyFill="1" applyAlignment="1">
      <alignment vertical="center" wrapText="1"/>
    </xf>
    <xf numFmtId="10" fontId="1" fillId="3" borderId="0" xfId="0" applyNumberFormat="1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3" fontId="3" fillId="3" borderId="0" xfId="0" applyNumberFormat="1" applyFont="1" applyFill="1" applyAlignment="1">
      <alignment vertical="center" wrapText="1"/>
    </xf>
    <xf numFmtId="10" fontId="3" fillId="3" borderId="0" xfId="0" applyNumberFormat="1" applyFont="1" applyFill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3" fontId="5" fillId="4" borderId="0" xfId="0" applyNumberFormat="1" applyFont="1" applyFill="1" applyAlignment="1">
      <alignment vertical="center" wrapText="1"/>
    </xf>
    <xf numFmtId="10" fontId="5" fillId="4" borderId="0" xfId="0" applyNumberFormat="1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3" fontId="6" fillId="4" borderId="0" xfId="0" applyNumberFormat="1" applyFont="1" applyFill="1" applyAlignment="1">
      <alignment vertical="center" wrapText="1"/>
    </xf>
    <xf numFmtId="10" fontId="6" fillId="4" borderId="0" xfId="0" applyNumberFormat="1" applyFont="1" applyFill="1" applyAlignment="1">
      <alignment vertical="center" wrapText="1"/>
    </xf>
    <xf numFmtId="0" fontId="4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3" fontId="7" fillId="4" borderId="0" xfId="0" applyNumberFormat="1" applyFont="1" applyFill="1" applyAlignment="1">
      <alignment vertical="center" wrapText="1"/>
    </xf>
    <xf numFmtId="10" fontId="7" fillId="4" borderId="0" xfId="0" applyNumberFormat="1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3" fontId="9" fillId="4" borderId="0" xfId="0" applyNumberFormat="1" applyFont="1" applyFill="1" applyAlignment="1">
      <alignment vertical="center" wrapText="1"/>
    </xf>
    <xf numFmtId="10" fontId="9" fillId="4" borderId="0" xfId="0" applyNumberFormat="1" applyFont="1" applyFill="1" applyAlignment="1">
      <alignment vertical="center" wrapText="1"/>
    </xf>
    <xf numFmtId="0" fontId="8" fillId="3" borderId="0" xfId="0" applyFont="1" applyFill="1" applyAlignment="1">
      <alignment horizontal="center" vertical="center" wrapText="1"/>
    </xf>
    <xf numFmtId="3" fontId="9" fillId="3" borderId="0" xfId="0" applyNumberFormat="1" applyFont="1" applyFill="1" applyAlignment="1">
      <alignment vertical="center" wrapText="1"/>
    </xf>
    <xf numFmtId="10" fontId="9" fillId="3" borderId="0" xfId="0" applyNumberFormat="1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3" fontId="7" fillId="3" borderId="0" xfId="0" applyNumberFormat="1" applyFont="1" applyFill="1" applyAlignment="1">
      <alignment vertical="center" wrapText="1"/>
    </xf>
    <xf numFmtId="10" fontId="7" fillId="3" borderId="0" xfId="0" applyNumberFormat="1" applyFont="1" applyFill="1" applyAlignment="1">
      <alignment vertical="center" wrapText="1"/>
    </xf>
    <xf numFmtId="3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.wikipedia.org/wiki/2024_United_States_presidential_ele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4424-DF48-4554-A0FA-326C60B1EEA5}">
  <dimension ref="A1:W53"/>
  <sheetViews>
    <sheetView topLeftCell="A22" workbookViewId="0">
      <selection activeCell="I1" sqref="I1:L1048576"/>
    </sheetView>
  </sheetViews>
  <sheetFormatPr defaultRowHeight="14.5" x14ac:dyDescent="0.35"/>
  <cols>
    <col min="1" max="1" width="49.7265625" bestFit="1" customWidth="1"/>
    <col min="2" max="2" width="9.36328125" bestFit="1" customWidth="1"/>
    <col min="3" max="3" width="8.81640625" customWidth="1"/>
    <col min="4" max="4" width="9.36328125" bestFit="1" customWidth="1"/>
    <col min="5" max="5" width="10.08984375" bestFit="1" customWidth="1"/>
    <col min="6" max="6" width="6.81640625" bestFit="1" customWidth="1"/>
    <col min="7" max="7" width="8.81640625" bestFit="1" customWidth="1"/>
    <col min="9" max="11" width="8.7265625" style="34"/>
    <col min="21" max="21" width="9.81640625" style="34" bestFit="1" customWidth="1"/>
  </cols>
  <sheetData>
    <row r="1" spans="1:23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s="34" t="s">
        <v>238</v>
      </c>
      <c r="J1" s="34" t="s">
        <v>239</v>
      </c>
      <c r="K1" s="34" t="s">
        <v>240</v>
      </c>
      <c r="L1" t="s">
        <v>241</v>
      </c>
      <c r="O1" t="s">
        <v>178</v>
      </c>
      <c r="P1" t="s">
        <v>179</v>
      </c>
      <c r="Q1" t="s">
        <v>180</v>
      </c>
      <c r="R1" t="s">
        <v>181</v>
      </c>
      <c r="U1" s="34" t="s">
        <v>237</v>
      </c>
      <c r="V1" t="s">
        <v>242</v>
      </c>
      <c r="W1" t="s">
        <v>243</v>
      </c>
    </row>
    <row r="2" spans="1:23" x14ac:dyDescent="0.35">
      <c r="A2" t="s">
        <v>127</v>
      </c>
      <c r="B2">
        <v>5157699</v>
      </c>
      <c r="C2">
        <f>B2-U2</f>
        <v>1305881</v>
      </c>
      <c r="D2">
        <v>1462616</v>
      </c>
      <c r="E2">
        <v>772412</v>
      </c>
      <c r="F2">
        <f>SUM(O2:R2)</f>
        <v>30062</v>
      </c>
      <c r="G2">
        <f>B2-SUM(C2:F2)</f>
        <v>1586728</v>
      </c>
      <c r="I2" s="34">
        <f>C2/B2</f>
        <v>0.25319061852969704</v>
      </c>
      <c r="J2" s="34">
        <f>D2/U2</f>
        <v>0.37972095254760219</v>
      </c>
      <c r="K2" s="34">
        <f>W2/V2</f>
        <v>0.67670711810889161</v>
      </c>
      <c r="L2">
        <f>F2/W2</f>
        <v>1.8593633063044675E-2</v>
      </c>
      <c r="O2">
        <v>4319</v>
      </c>
      <c r="P2">
        <v>12075</v>
      </c>
      <c r="Q2">
        <v>4930</v>
      </c>
      <c r="R2">
        <v>8738</v>
      </c>
      <c r="U2" s="34">
        <v>3851818</v>
      </c>
      <c r="V2">
        <f>U2-D2</f>
        <v>2389202</v>
      </c>
      <c r="W2">
        <f>F2+G2</f>
        <v>1616790</v>
      </c>
    </row>
    <row r="3" spans="1:23" x14ac:dyDescent="0.35">
      <c r="A3" t="s">
        <v>129</v>
      </c>
      <c r="B3">
        <v>7582384</v>
      </c>
      <c r="C3" s="34">
        <f t="shared" ref="C3:C53" si="0">B3-U3</f>
        <v>2192544</v>
      </c>
      <c r="D3">
        <v>1770242</v>
      </c>
      <c r="E3">
        <v>1582860</v>
      </c>
      <c r="F3">
        <f>SUM(O3:R3)</f>
        <v>37059</v>
      </c>
      <c r="G3" s="34">
        <f t="shared" ref="G3:G49" si="1">B3-SUM(C3:F3)</f>
        <v>1999679</v>
      </c>
      <c r="I3" s="34">
        <f t="shared" ref="I3:I49" si="2">C3/B3</f>
        <v>0.28916288069820784</v>
      </c>
      <c r="J3" s="34">
        <f t="shared" ref="J3:J49" si="3">D3/U3</f>
        <v>0.32844054740029388</v>
      </c>
      <c r="K3" s="34">
        <f t="shared" ref="K3:K53" si="4">W3/V3</f>
        <v>0.56269729400889268</v>
      </c>
      <c r="L3" s="34">
        <f t="shared" ref="L3:L53" si="5">F3/W3</f>
        <v>1.8195271065792457E-2</v>
      </c>
      <c r="O3">
        <v>18319</v>
      </c>
      <c r="P3" t="s">
        <v>28</v>
      </c>
      <c r="Q3">
        <v>17898</v>
      </c>
      <c r="R3">
        <v>842</v>
      </c>
      <c r="U3" s="34">
        <v>5389840</v>
      </c>
      <c r="V3" s="34">
        <f t="shared" ref="V3:V53" si="6">U3-D3</f>
        <v>3619598</v>
      </c>
      <c r="W3" s="34">
        <f t="shared" ref="W3:W53" si="7">F3+G3</f>
        <v>2036738</v>
      </c>
    </row>
    <row r="4" spans="1:23" x14ac:dyDescent="0.35">
      <c r="A4" t="s">
        <v>130</v>
      </c>
      <c r="B4">
        <v>3088354</v>
      </c>
      <c r="C4" s="34">
        <f t="shared" si="0"/>
        <v>862841</v>
      </c>
      <c r="D4">
        <v>759241</v>
      </c>
      <c r="E4">
        <v>396905</v>
      </c>
      <c r="F4">
        <f>SUM(O4:R4)</f>
        <v>26530</v>
      </c>
      <c r="G4" s="34">
        <f t="shared" si="1"/>
        <v>1042837</v>
      </c>
      <c r="I4" s="34">
        <f t="shared" si="2"/>
        <v>0.27938539429093945</v>
      </c>
      <c r="J4" s="34">
        <f t="shared" si="3"/>
        <v>0.3411532532049914</v>
      </c>
      <c r="K4" s="34">
        <f t="shared" si="4"/>
        <v>0.72931011435804549</v>
      </c>
      <c r="L4" s="34">
        <f t="shared" si="5"/>
        <v>2.4809069290524208E-2</v>
      </c>
      <c r="O4">
        <v>4275</v>
      </c>
      <c r="P4">
        <v>13255</v>
      </c>
      <c r="Q4">
        <v>5715</v>
      </c>
      <c r="R4">
        <v>3285</v>
      </c>
      <c r="U4" s="34">
        <v>2225513</v>
      </c>
      <c r="V4" s="34">
        <f t="shared" si="6"/>
        <v>1466272</v>
      </c>
      <c r="W4" s="34">
        <f t="shared" si="7"/>
        <v>1069367</v>
      </c>
    </row>
    <row r="5" spans="1:23" x14ac:dyDescent="0.35">
      <c r="A5" t="s">
        <v>131</v>
      </c>
      <c r="B5">
        <v>39431263</v>
      </c>
      <c r="C5" s="34">
        <f t="shared" si="0"/>
        <v>13422311</v>
      </c>
      <c r="D5">
        <v>6081697</v>
      </c>
      <c r="E5">
        <v>9276179</v>
      </c>
      <c r="F5">
        <f>SUM(O5:R5)</f>
        <v>507599</v>
      </c>
      <c r="G5" s="34">
        <f t="shared" si="1"/>
        <v>10143477</v>
      </c>
      <c r="I5" s="34">
        <f t="shared" si="2"/>
        <v>0.34039769408349918</v>
      </c>
      <c r="J5" s="34">
        <f t="shared" si="3"/>
        <v>0.23383091329477634</v>
      </c>
      <c r="K5" s="34">
        <f t="shared" si="4"/>
        <v>0.53449790249585305</v>
      </c>
      <c r="L5" s="34">
        <f t="shared" si="5"/>
        <v>4.7657063004714263E-2</v>
      </c>
      <c r="O5">
        <v>167814</v>
      </c>
      <c r="P5">
        <v>197645</v>
      </c>
      <c r="Q5">
        <v>66662</v>
      </c>
      <c r="R5">
        <v>75478</v>
      </c>
      <c r="U5" s="34">
        <v>26008952</v>
      </c>
      <c r="V5" s="34">
        <f t="shared" si="6"/>
        <v>19927255</v>
      </c>
      <c r="W5" s="34">
        <f t="shared" si="7"/>
        <v>10651076</v>
      </c>
    </row>
    <row r="6" spans="1:23" x14ac:dyDescent="0.35">
      <c r="A6" t="s">
        <v>132</v>
      </c>
      <c r="B6">
        <v>5957493</v>
      </c>
      <c r="C6" s="34">
        <f t="shared" si="0"/>
        <v>1526144</v>
      </c>
      <c r="D6">
        <v>1377441</v>
      </c>
      <c r="E6">
        <v>1728159</v>
      </c>
      <c r="F6">
        <f>SUM(O6:R6)</f>
        <v>87145</v>
      </c>
      <c r="G6" s="34">
        <f t="shared" si="1"/>
        <v>1238604</v>
      </c>
      <c r="I6" s="34">
        <f t="shared" si="2"/>
        <v>0.25617218517923562</v>
      </c>
      <c r="J6" s="34">
        <f t="shared" si="3"/>
        <v>0.31084010760605857</v>
      </c>
      <c r="K6" s="34">
        <f t="shared" si="4"/>
        <v>0.43411556602229012</v>
      </c>
      <c r="L6" s="34">
        <f t="shared" si="5"/>
        <v>6.5732653767794663E-2</v>
      </c>
      <c r="O6">
        <v>17344</v>
      </c>
      <c r="P6">
        <v>35623</v>
      </c>
      <c r="Q6">
        <v>21439</v>
      </c>
      <c r="R6">
        <v>12739</v>
      </c>
      <c r="U6" s="34">
        <v>4431349</v>
      </c>
      <c r="V6" s="34">
        <f t="shared" si="6"/>
        <v>3053908</v>
      </c>
      <c r="W6" s="34">
        <f t="shared" si="7"/>
        <v>1325749</v>
      </c>
    </row>
    <row r="7" spans="1:23" x14ac:dyDescent="0.35">
      <c r="A7" t="s">
        <v>133</v>
      </c>
      <c r="B7">
        <v>3675069</v>
      </c>
      <c r="C7" s="34">
        <f t="shared" si="0"/>
        <v>1008245</v>
      </c>
      <c r="D7">
        <v>736918</v>
      </c>
      <c r="E7">
        <v>992053</v>
      </c>
      <c r="F7">
        <f>SUM(O7:R7)</f>
        <v>30039</v>
      </c>
      <c r="G7" s="34">
        <f t="shared" si="1"/>
        <v>907814</v>
      </c>
      <c r="I7" s="34">
        <f t="shared" si="2"/>
        <v>0.27434722994316568</v>
      </c>
      <c r="J7" s="34">
        <f t="shared" si="3"/>
        <v>0.27632794665114757</v>
      </c>
      <c r="K7" s="34">
        <f t="shared" si="4"/>
        <v>0.48595786530535684</v>
      </c>
      <c r="L7" s="34">
        <f t="shared" si="5"/>
        <v>3.2029539810609978E-2</v>
      </c>
      <c r="O7">
        <v>14281</v>
      </c>
      <c r="P7">
        <v>8448</v>
      </c>
      <c r="Q7">
        <v>6729</v>
      </c>
      <c r="R7">
        <v>581</v>
      </c>
      <c r="U7" s="34">
        <v>2666824</v>
      </c>
      <c r="V7" s="34">
        <f t="shared" si="6"/>
        <v>1929906</v>
      </c>
      <c r="W7" s="34">
        <f t="shared" si="7"/>
        <v>937853</v>
      </c>
    </row>
    <row r="8" spans="1:23" x14ac:dyDescent="0.35">
      <c r="A8" t="s">
        <v>134</v>
      </c>
      <c r="B8">
        <v>1051917</v>
      </c>
      <c r="C8" s="34">
        <f t="shared" si="0"/>
        <v>278537</v>
      </c>
      <c r="D8">
        <v>214351</v>
      </c>
      <c r="E8">
        <v>289758</v>
      </c>
      <c r="F8">
        <f>SUM(O8:R8)</f>
        <v>8803</v>
      </c>
      <c r="G8" s="34">
        <f t="shared" si="1"/>
        <v>260468</v>
      </c>
      <c r="I8" s="34">
        <f t="shared" si="2"/>
        <v>0.26478990262539726</v>
      </c>
      <c r="J8" s="34">
        <f t="shared" si="3"/>
        <v>0.27716129199100054</v>
      </c>
      <c r="K8" s="34">
        <f t="shared" si="4"/>
        <v>0.48167626366431793</v>
      </c>
      <c r="L8" s="34">
        <f t="shared" si="5"/>
        <v>3.2691972028179792E-2</v>
      </c>
      <c r="O8">
        <v>914</v>
      </c>
      <c r="P8">
        <v>4636</v>
      </c>
      <c r="Q8">
        <v>2038</v>
      </c>
      <c r="R8">
        <v>1215</v>
      </c>
      <c r="U8" s="34">
        <v>773380</v>
      </c>
      <c r="V8" s="34">
        <f t="shared" si="6"/>
        <v>559029</v>
      </c>
      <c r="W8" s="34">
        <f t="shared" si="7"/>
        <v>269271</v>
      </c>
    </row>
    <row r="9" spans="1:23" x14ac:dyDescent="0.35">
      <c r="A9" t="s">
        <v>136</v>
      </c>
      <c r="B9">
        <v>23372215</v>
      </c>
      <c r="C9" s="34">
        <f t="shared" si="0"/>
        <v>6877378</v>
      </c>
      <c r="D9">
        <v>6110125</v>
      </c>
      <c r="E9">
        <v>4683038</v>
      </c>
      <c r="F9">
        <f>SUM(O9:R9)</f>
        <v>100589</v>
      </c>
      <c r="G9" s="34">
        <f t="shared" si="1"/>
        <v>5601085</v>
      </c>
      <c r="I9" s="34">
        <f t="shared" si="2"/>
        <v>0.29425443844325411</v>
      </c>
      <c r="J9" s="34">
        <f t="shared" si="3"/>
        <v>0.37042651588494024</v>
      </c>
      <c r="K9" s="34">
        <f t="shared" si="4"/>
        <v>0.54904498073706809</v>
      </c>
      <c r="L9" s="34">
        <f t="shared" si="5"/>
        <v>1.7642011802147931E-2</v>
      </c>
      <c r="O9">
        <v>43155</v>
      </c>
      <c r="P9" t="s">
        <v>28</v>
      </c>
      <c r="Q9">
        <v>31972</v>
      </c>
      <c r="R9">
        <v>25462</v>
      </c>
      <c r="U9" s="34">
        <v>16494837</v>
      </c>
      <c r="V9" s="34">
        <f t="shared" si="6"/>
        <v>10384712</v>
      </c>
      <c r="W9" s="34">
        <f t="shared" si="7"/>
        <v>5701674</v>
      </c>
    </row>
    <row r="10" spans="1:23" x14ac:dyDescent="0.35">
      <c r="A10" t="s">
        <v>137</v>
      </c>
      <c r="B10">
        <v>11180878</v>
      </c>
      <c r="C10" s="34">
        <f t="shared" si="0"/>
        <v>3420471</v>
      </c>
      <c r="D10">
        <v>2663117</v>
      </c>
      <c r="E10">
        <v>2548017</v>
      </c>
      <c r="F10">
        <f>SUM(O10:R10)</f>
        <v>39771</v>
      </c>
      <c r="G10" s="34">
        <f t="shared" si="1"/>
        <v>2509502</v>
      </c>
      <c r="I10" s="34">
        <f t="shared" si="2"/>
        <v>0.30592150276570407</v>
      </c>
      <c r="J10" s="34">
        <f t="shared" si="3"/>
        <v>0.34316718182435535</v>
      </c>
      <c r="K10" s="34">
        <f t="shared" si="4"/>
        <v>0.50012320272144606</v>
      </c>
      <c r="L10" s="34">
        <f t="shared" si="5"/>
        <v>1.5600918379475246E-2</v>
      </c>
      <c r="O10">
        <v>18229</v>
      </c>
      <c r="P10" t="s">
        <v>28</v>
      </c>
      <c r="Q10">
        <v>20684</v>
      </c>
      <c r="R10">
        <v>858</v>
      </c>
      <c r="U10" s="34">
        <v>7760407</v>
      </c>
      <c r="V10" s="34">
        <f t="shared" si="6"/>
        <v>5097290</v>
      </c>
      <c r="W10" s="34">
        <f t="shared" si="7"/>
        <v>2549273</v>
      </c>
    </row>
    <row r="11" spans="1:23" x14ac:dyDescent="0.35">
      <c r="A11" t="s">
        <v>139</v>
      </c>
      <c r="B11">
        <v>2001619</v>
      </c>
      <c r="C11" s="34">
        <f t="shared" si="0"/>
        <v>555391</v>
      </c>
      <c r="D11">
        <v>605246</v>
      </c>
      <c r="E11">
        <v>274972</v>
      </c>
      <c r="F11">
        <f>SUM(O11:R11)</f>
        <v>24839</v>
      </c>
      <c r="G11" s="34">
        <f t="shared" si="1"/>
        <v>541171</v>
      </c>
      <c r="I11" s="34">
        <f t="shared" si="2"/>
        <v>0.2774708873167171</v>
      </c>
      <c r="J11" s="34">
        <f t="shared" si="3"/>
        <v>0.41849971097226718</v>
      </c>
      <c r="K11" s="34">
        <f t="shared" si="4"/>
        <v>0.67303461905248863</v>
      </c>
      <c r="L11" s="34">
        <f t="shared" si="5"/>
        <v>4.3884383668133069E-2</v>
      </c>
      <c r="O11">
        <v>2973</v>
      </c>
      <c r="P11">
        <v>12812</v>
      </c>
      <c r="Q11">
        <v>4462</v>
      </c>
      <c r="R11">
        <v>4592</v>
      </c>
      <c r="U11" s="34">
        <v>1446228</v>
      </c>
      <c r="V11" s="34">
        <f t="shared" si="6"/>
        <v>840982</v>
      </c>
      <c r="W11" s="34">
        <f t="shared" si="7"/>
        <v>566010</v>
      </c>
    </row>
    <row r="12" spans="1:23" x14ac:dyDescent="0.35">
      <c r="A12" t="s">
        <v>140</v>
      </c>
      <c r="B12">
        <v>12710158</v>
      </c>
      <c r="C12" s="34">
        <f t="shared" si="0"/>
        <v>3689552</v>
      </c>
      <c r="D12">
        <v>2449079</v>
      </c>
      <c r="E12">
        <v>3062863</v>
      </c>
      <c r="F12">
        <f>SUM(O12:R12)</f>
        <v>121368</v>
      </c>
      <c r="G12" s="34">
        <f t="shared" si="1"/>
        <v>3387296</v>
      </c>
      <c r="I12" s="34">
        <f t="shared" si="2"/>
        <v>0.29028372424638621</v>
      </c>
      <c r="J12" s="34">
        <f t="shared" si="3"/>
        <v>0.27149827849703223</v>
      </c>
      <c r="K12" s="34">
        <f t="shared" si="4"/>
        <v>0.53391913325472151</v>
      </c>
      <c r="L12" s="34">
        <f t="shared" si="5"/>
        <v>3.4590944017437973E-2</v>
      </c>
      <c r="O12">
        <v>31023</v>
      </c>
      <c r="P12">
        <v>80426</v>
      </c>
      <c r="Q12">
        <v>3510</v>
      </c>
      <c r="R12">
        <v>6409</v>
      </c>
      <c r="U12" s="34">
        <v>9020606</v>
      </c>
      <c r="V12" s="34">
        <f t="shared" si="6"/>
        <v>6571527</v>
      </c>
      <c r="W12" s="34">
        <f t="shared" si="7"/>
        <v>3508664</v>
      </c>
    </row>
    <row r="13" spans="1:23" x14ac:dyDescent="0.35">
      <c r="A13" t="s">
        <v>141</v>
      </c>
      <c r="B13">
        <v>6924275</v>
      </c>
      <c r="C13" s="34">
        <f t="shared" si="0"/>
        <v>1852660</v>
      </c>
      <c r="D13">
        <v>1720347</v>
      </c>
      <c r="E13">
        <v>1163603</v>
      </c>
      <c r="F13">
        <f>SUM(O13:R13)</f>
        <v>52727</v>
      </c>
      <c r="G13" s="34">
        <f t="shared" si="1"/>
        <v>2134938</v>
      </c>
      <c r="I13" s="34">
        <f t="shared" si="2"/>
        <v>0.26756014167548225</v>
      </c>
      <c r="J13" s="34">
        <f t="shared" si="3"/>
        <v>0.33921088252952952</v>
      </c>
      <c r="K13" s="34">
        <f t="shared" si="4"/>
        <v>0.65278724351499195</v>
      </c>
      <c r="L13" s="34">
        <f t="shared" si="5"/>
        <v>2.4101953452653858E-2</v>
      </c>
      <c r="O13" t="s">
        <v>28</v>
      </c>
      <c r="P13">
        <v>29325</v>
      </c>
      <c r="Q13">
        <v>20425</v>
      </c>
      <c r="R13">
        <v>2977</v>
      </c>
      <c r="U13" s="34">
        <v>5071615</v>
      </c>
      <c r="V13" s="34">
        <f t="shared" si="6"/>
        <v>3351268</v>
      </c>
      <c r="W13" s="34">
        <f t="shared" si="7"/>
        <v>2187665</v>
      </c>
    </row>
    <row r="14" spans="1:23" x14ac:dyDescent="0.35">
      <c r="A14" t="s">
        <v>142</v>
      </c>
      <c r="B14">
        <v>3241488</v>
      </c>
      <c r="C14" s="34">
        <f t="shared" si="0"/>
        <v>876306</v>
      </c>
      <c r="D14">
        <v>927019</v>
      </c>
      <c r="E14">
        <v>707278</v>
      </c>
      <c r="F14">
        <f>SUM(O14:R14)</f>
        <v>29209</v>
      </c>
      <c r="G14" s="34">
        <f t="shared" si="1"/>
        <v>701676</v>
      </c>
      <c r="I14" s="34">
        <f t="shared" si="2"/>
        <v>0.27034065836430676</v>
      </c>
      <c r="J14" s="34">
        <f t="shared" si="3"/>
        <v>0.39194404489802476</v>
      </c>
      <c r="K14" s="34">
        <f t="shared" si="4"/>
        <v>0.50820734506450238</v>
      </c>
      <c r="L14" s="34">
        <f t="shared" si="5"/>
        <v>3.9963879406472974E-2</v>
      </c>
      <c r="O14" t="s">
        <v>28</v>
      </c>
      <c r="P14">
        <v>13122</v>
      </c>
      <c r="Q14">
        <v>7218</v>
      </c>
      <c r="R14">
        <v>8869</v>
      </c>
      <c r="U14" s="34">
        <v>2365182</v>
      </c>
      <c r="V14" s="34">
        <f t="shared" si="6"/>
        <v>1438163</v>
      </c>
      <c r="W14" s="34">
        <f t="shared" si="7"/>
        <v>730885</v>
      </c>
    </row>
    <row r="15" spans="1:23" x14ac:dyDescent="0.35">
      <c r="A15" t="s">
        <v>143</v>
      </c>
      <c r="B15">
        <v>2970606</v>
      </c>
      <c r="C15" s="34">
        <f t="shared" si="0"/>
        <v>843158</v>
      </c>
      <c r="D15">
        <v>758802</v>
      </c>
      <c r="E15">
        <v>544853</v>
      </c>
      <c r="F15">
        <f>SUM(O15:R15)</f>
        <v>23936</v>
      </c>
      <c r="G15" s="34">
        <f t="shared" si="1"/>
        <v>799857</v>
      </c>
      <c r="I15" s="34">
        <f t="shared" si="2"/>
        <v>0.2838336689550886</v>
      </c>
      <c r="J15" s="34">
        <f t="shared" si="3"/>
        <v>0.3566724075042022</v>
      </c>
      <c r="K15" s="34">
        <f t="shared" si="4"/>
        <v>0.60190363322583051</v>
      </c>
      <c r="L15" s="34">
        <f t="shared" si="5"/>
        <v>2.905584291199367E-2</v>
      </c>
      <c r="O15" t="s">
        <v>28</v>
      </c>
      <c r="P15">
        <v>16322</v>
      </c>
      <c r="Q15">
        <v>7614</v>
      </c>
      <c r="R15" t="s">
        <v>28</v>
      </c>
      <c r="U15" s="34">
        <v>2127448</v>
      </c>
      <c r="V15" s="34">
        <f t="shared" si="6"/>
        <v>1368646</v>
      </c>
      <c r="W15" s="34">
        <f t="shared" si="7"/>
        <v>823793</v>
      </c>
    </row>
    <row r="16" spans="1:23" x14ac:dyDescent="0.35">
      <c r="A16" t="s">
        <v>144</v>
      </c>
      <c r="B16">
        <v>4588372</v>
      </c>
      <c r="C16" s="34">
        <f t="shared" si="0"/>
        <v>1223342</v>
      </c>
      <c r="D16">
        <v>1337494</v>
      </c>
      <c r="E16">
        <v>704043</v>
      </c>
      <c r="F16">
        <f>SUM(O16:R16)</f>
        <v>32993</v>
      </c>
      <c r="G16" s="34">
        <f t="shared" si="1"/>
        <v>1290500</v>
      </c>
      <c r="I16" s="34">
        <f t="shared" si="2"/>
        <v>0.26661787666736697</v>
      </c>
      <c r="J16" s="34">
        <f t="shared" si="3"/>
        <v>0.3974686704130424</v>
      </c>
      <c r="K16" s="34">
        <f t="shared" si="4"/>
        <v>0.65275930982236563</v>
      </c>
      <c r="L16" s="34">
        <f t="shared" si="5"/>
        <v>2.4928730261512527E-2</v>
      </c>
      <c r="O16">
        <v>7566</v>
      </c>
      <c r="P16">
        <v>16769</v>
      </c>
      <c r="Q16">
        <v>6422</v>
      </c>
      <c r="R16">
        <v>2236</v>
      </c>
      <c r="U16" s="34">
        <v>3365030</v>
      </c>
      <c r="V16" s="34">
        <f t="shared" si="6"/>
        <v>2027536</v>
      </c>
      <c r="W16" s="34">
        <f t="shared" si="7"/>
        <v>1323493</v>
      </c>
    </row>
    <row r="17" spans="1:23" x14ac:dyDescent="0.35">
      <c r="A17" t="s">
        <v>145</v>
      </c>
      <c r="B17">
        <v>4597740</v>
      </c>
      <c r="C17" s="34">
        <f t="shared" si="0"/>
        <v>1271852</v>
      </c>
      <c r="D17">
        <v>1208505</v>
      </c>
      <c r="E17">
        <v>766870</v>
      </c>
      <c r="F17">
        <f>SUM(O17:R17)</f>
        <v>31600</v>
      </c>
      <c r="G17" s="34">
        <f t="shared" si="1"/>
        <v>1318913</v>
      </c>
      <c r="I17" s="34">
        <f t="shared" si="2"/>
        <v>0.27662547251475728</v>
      </c>
      <c r="J17" s="34">
        <f t="shared" si="3"/>
        <v>0.36336310783766623</v>
      </c>
      <c r="K17" s="34">
        <f t="shared" si="4"/>
        <v>0.63782178283286495</v>
      </c>
      <c r="L17" s="34">
        <f t="shared" si="5"/>
        <v>2.33985159713383E-2</v>
      </c>
      <c r="O17">
        <v>7138</v>
      </c>
      <c r="P17">
        <v>6641</v>
      </c>
      <c r="Q17">
        <v>6835</v>
      </c>
      <c r="R17">
        <v>10986</v>
      </c>
      <c r="U17" s="34">
        <v>3325888</v>
      </c>
      <c r="V17" s="34">
        <f t="shared" si="6"/>
        <v>2117383</v>
      </c>
      <c r="W17" s="34">
        <f t="shared" si="7"/>
        <v>1350513</v>
      </c>
    </row>
    <row r="18" spans="1:23" x14ac:dyDescent="0.35">
      <c r="A18" t="s">
        <v>146</v>
      </c>
      <c r="B18">
        <v>1405012</v>
      </c>
      <c r="C18" s="34">
        <f t="shared" si="0"/>
        <v>270319</v>
      </c>
      <c r="D18">
        <v>377977</v>
      </c>
      <c r="E18">
        <v>435652</v>
      </c>
      <c r="F18">
        <f>SUM(O18:R18)</f>
        <v>17746</v>
      </c>
      <c r="G18" s="34">
        <f t="shared" si="1"/>
        <v>303318</v>
      </c>
      <c r="I18" s="34">
        <f t="shared" si="2"/>
        <v>0.19239622152693359</v>
      </c>
      <c r="J18" s="34">
        <f t="shared" si="3"/>
        <v>0.33310948423934933</v>
      </c>
      <c r="K18" s="34">
        <f t="shared" si="4"/>
        <v>0.42428599368851722</v>
      </c>
      <c r="L18" s="34">
        <f t="shared" si="5"/>
        <v>5.5272469040440537E-2</v>
      </c>
      <c r="O18">
        <v>8967</v>
      </c>
      <c r="P18" t="s">
        <v>28</v>
      </c>
      <c r="Q18">
        <v>5286</v>
      </c>
      <c r="R18">
        <v>3493</v>
      </c>
      <c r="U18" s="34">
        <v>1134693</v>
      </c>
      <c r="V18" s="34">
        <f t="shared" si="6"/>
        <v>756716</v>
      </c>
      <c r="W18" s="34">
        <f t="shared" si="7"/>
        <v>321064</v>
      </c>
    </row>
    <row r="19" spans="1:23" x14ac:dyDescent="0.35">
      <c r="A19" t="s">
        <v>147</v>
      </c>
      <c r="B19">
        <v>6263220</v>
      </c>
      <c r="C19" s="34">
        <f t="shared" si="0"/>
        <v>1844149</v>
      </c>
      <c r="D19">
        <v>1035550</v>
      </c>
      <c r="E19">
        <v>1902577</v>
      </c>
      <c r="F19">
        <f>SUM(O19:R19)</f>
        <v>100207</v>
      </c>
      <c r="G19" s="34">
        <f t="shared" si="1"/>
        <v>1380737</v>
      </c>
      <c r="I19" s="34">
        <f t="shared" si="2"/>
        <v>0.29444103831575452</v>
      </c>
      <c r="J19" s="34">
        <f t="shared" si="3"/>
        <v>0.23433658341312008</v>
      </c>
      <c r="K19" s="34">
        <f t="shared" si="4"/>
        <v>0.43769316046804496</v>
      </c>
      <c r="L19" s="34">
        <f t="shared" si="5"/>
        <v>6.7664273598461527E-2</v>
      </c>
      <c r="O19">
        <v>33134</v>
      </c>
      <c r="P19">
        <v>28819</v>
      </c>
      <c r="Q19">
        <v>15570</v>
      </c>
      <c r="R19">
        <v>22684</v>
      </c>
      <c r="U19" s="34">
        <v>4419071</v>
      </c>
      <c r="V19" s="34">
        <f t="shared" si="6"/>
        <v>3383521</v>
      </c>
      <c r="W19" s="34">
        <f t="shared" si="7"/>
        <v>1480944</v>
      </c>
    </row>
    <row r="20" spans="1:23" x14ac:dyDescent="0.35">
      <c r="A20" t="s">
        <v>148</v>
      </c>
      <c r="B20">
        <v>7136171</v>
      </c>
      <c r="C20" s="34">
        <f t="shared" si="0"/>
        <v>1972472</v>
      </c>
      <c r="D20">
        <v>1251303</v>
      </c>
      <c r="E20">
        <v>2126518</v>
      </c>
      <c r="F20">
        <f>SUM(O20:R20)</f>
        <v>95847</v>
      </c>
      <c r="G20" s="34">
        <f t="shared" si="1"/>
        <v>1690031</v>
      </c>
      <c r="I20" s="34">
        <f t="shared" si="2"/>
        <v>0.2764048114878413</v>
      </c>
      <c r="J20" s="34">
        <f t="shared" si="3"/>
        <v>0.24232686684487226</v>
      </c>
      <c r="K20" s="34">
        <f t="shared" si="4"/>
        <v>0.45646657444696292</v>
      </c>
      <c r="L20" s="34">
        <f t="shared" si="5"/>
        <v>5.3669399589445638E-2</v>
      </c>
      <c r="O20">
        <v>26545</v>
      </c>
      <c r="P20" t="s">
        <v>28</v>
      </c>
      <c r="Q20">
        <v>17735</v>
      </c>
      <c r="R20">
        <v>51567</v>
      </c>
      <c r="U20" s="34">
        <v>5163699</v>
      </c>
      <c r="V20" s="34">
        <f t="shared" si="6"/>
        <v>3912396</v>
      </c>
      <c r="W20" s="34">
        <f t="shared" si="7"/>
        <v>1785878</v>
      </c>
    </row>
    <row r="21" spans="1:23" x14ac:dyDescent="0.35">
      <c r="A21" t="s">
        <v>149</v>
      </c>
      <c r="B21">
        <v>10140459</v>
      </c>
      <c r="C21" s="34">
        <f t="shared" si="0"/>
        <v>2495054</v>
      </c>
      <c r="D21">
        <v>2816636</v>
      </c>
      <c r="E21">
        <v>2736533</v>
      </c>
      <c r="F21">
        <f>SUM(O21:R21)</f>
        <v>111017</v>
      </c>
      <c r="G21" s="34">
        <f t="shared" si="1"/>
        <v>1981219</v>
      </c>
      <c r="I21" s="34">
        <f t="shared" si="2"/>
        <v>0.24604941452847451</v>
      </c>
      <c r="J21" s="34">
        <f t="shared" si="3"/>
        <v>0.36840899860766041</v>
      </c>
      <c r="K21" s="34">
        <f t="shared" si="4"/>
        <v>0.43328558479397128</v>
      </c>
      <c r="L21" s="34">
        <f t="shared" si="5"/>
        <v>5.306141372197018E-2</v>
      </c>
      <c r="O21">
        <v>44607</v>
      </c>
      <c r="P21">
        <v>26785</v>
      </c>
      <c r="Q21">
        <v>22440</v>
      </c>
      <c r="R21">
        <v>17185</v>
      </c>
      <c r="U21" s="34">
        <v>7645405</v>
      </c>
      <c r="V21" s="34">
        <f t="shared" si="6"/>
        <v>4828769</v>
      </c>
      <c r="W21" s="34">
        <f t="shared" si="7"/>
        <v>2092236</v>
      </c>
    </row>
    <row r="22" spans="1:23" x14ac:dyDescent="0.35">
      <c r="A22" t="s">
        <v>150</v>
      </c>
      <c r="B22">
        <v>5793151</v>
      </c>
      <c r="C22" s="34">
        <f t="shared" si="0"/>
        <v>1507342</v>
      </c>
      <c r="D22">
        <v>1519032</v>
      </c>
      <c r="E22">
        <v>1656979</v>
      </c>
      <c r="F22">
        <f>SUM(O22:R22)</f>
        <v>77909</v>
      </c>
      <c r="G22" s="34">
        <f t="shared" si="1"/>
        <v>1031889</v>
      </c>
      <c r="I22" s="34">
        <f t="shared" si="2"/>
        <v>0.26019380471871006</v>
      </c>
      <c r="J22" s="34">
        <f t="shared" si="3"/>
        <v>0.35443296703142863</v>
      </c>
      <c r="K22" s="34">
        <f t="shared" si="4"/>
        <v>0.40111581092368487</v>
      </c>
      <c r="L22" s="34">
        <f t="shared" si="5"/>
        <v>7.0201063616982556E-2</v>
      </c>
      <c r="O22">
        <v>16275</v>
      </c>
      <c r="P22">
        <v>24001</v>
      </c>
      <c r="Q22">
        <v>15155</v>
      </c>
      <c r="R22">
        <v>22478</v>
      </c>
      <c r="U22" s="34">
        <v>4285809</v>
      </c>
      <c r="V22" s="34">
        <f t="shared" si="6"/>
        <v>2766777</v>
      </c>
      <c r="W22" s="34">
        <f t="shared" si="7"/>
        <v>1109798</v>
      </c>
    </row>
    <row r="23" spans="1:23" x14ac:dyDescent="0.35">
      <c r="A23" t="s">
        <v>151</v>
      </c>
      <c r="B23">
        <v>2943045</v>
      </c>
      <c r="C23" s="34">
        <f t="shared" si="0"/>
        <v>767262</v>
      </c>
      <c r="D23">
        <v>747744</v>
      </c>
      <c r="E23">
        <v>466668</v>
      </c>
      <c r="F23">
        <f>SUM(O23:R23)</f>
        <v>13596</v>
      </c>
      <c r="G23" s="34">
        <f t="shared" si="1"/>
        <v>947775</v>
      </c>
      <c r="I23" s="34">
        <f t="shared" si="2"/>
        <v>0.26070345509497816</v>
      </c>
      <c r="J23" s="34">
        <f t="shared" si="3"/>
        <v>0.34366662484264288</v>
      </c>
      <c r="K23" s="34">
        <f t="shared" si="4"/>
        <v>0.6732106055927044</v>
      </c>
      <c r="L23" s="34">
        <f t="shared" si="5"/>
        <v>1.4142303023494571E-2</v>
      </c>
      <c r="O23">
        <v>1873</v>
      </c>
      <c r="P23">
        <v>5387</v>
      </c>
      <c r="Q23">
        <v>2536</v>
      </c>
      <c r="R23">
        <v>3800</v>
      </c>
      <c r="U23" s="34">
        <v>2175783</v>
      </c>
      <c r="V23" s="34">
        <f t="shared" si="6"/>
        <v>1428039</v>
      </c>
      <c r="W23" s="34">
        <f t="shared" si="7"/>
        <v>961371</v>
      </c>
    </row>
    <row r="24" spans="1:23" x14ac:dyDescent="0.35">
      <c r="A24" t="s">
        <v>152</v>
      </c>
      <c r="B24">
        <v>6245466</v>
      </c>
      <c r="C24" s="34">
        <f t="shared" si="0"/>
        <v>1582478</v>
      </c>
      <c r="D24">
        <v>1751986</v>
      </c>
      <c r="E24">
        <v>1200599</v>
      </c>
      <c r="F24">
        <f>SUM(O24:R24)</f>
        <v>42742</v>
      </c>
      <c r="G24" s="34">
        <f t="shared" si="1"/>
        <v>1667661</v>
      </c>
      <c r="I24" s="34">
        <f t="shared" si="2"/>
        <v>0.25338029219917296</v>
      </c>
      <c r="J24" s="34">
        <f t="shared" si="3"/>
        <v>0.37572174751468373</v>
      </c>
      <c r="K24" s="34">
        <f t="shared" si="4"/>
        <v>0.58756503774301772</v>
      </c>
      <c r="L24" s="34">
        <f t="shared" si="5"/>
        <v>2.4989432315074285E-2</v>
      </c>
      <c r="O24">
        <v>17135</v>
      </c>
      <c r="P24" t="s">
        <v>28</v>
      </c>
      <c r="Q24">
        <v>23876</v>
      </c>
      <c r="R24">
        <v>1731</v>
      </c>
      <c r="U24" s="34">
        <v>4662988</v>
      </c>
      <c r="V24" s="34">
        <f t="shared" si="6"/>
        <v>2911002</v>
      </c>
      <c r="W24" s="34">
        <f t="shared" si="7"/>
        <v>1710403</v>
      </c>
    </row>
    <row r="25" spans="1:23" x14ac:dyDescent="0.35">
      <c r="A25" t="s">
        <v>153</v>
      </c>
      <c r="B25">
        <v>1137233</v>
      </c>
      <c r="C25" s="34">
        <f t="shared" si="0"/>
        <v>239269</v>
      </c>
      <c r="D25">
        <v>352079</v>
      </c>
      <c r="E25">
        <v>231906</v>
      </c>
      <c r="F25">
        <f>SUM(O25:R25)</f>
        <v>19005</v>
      </c>
      <c r="G25" s="34">
        <f t="shared" si="1"/>
        <v>294974</v>
      </c>
      <c r="I25" s="34">
        <f t="shared" si="2"/>
        <v>0.21039575882866571</v>
      </c>
      <c r="J25" s="34">
        <f t="shared" si="3"/>
        <v>0.39208587426667441</v>
      </c>
      <c r="K25" s="34">
        <f t="shared" si="4"/>
        <v>0.5751742583144801</v>
      </c>
      <c r="L25" s="34">
        <f t="shared" si="5"/>
        <v>6.0529525860009745E-2</v>
      </c>
      <c r="O25">
        <v>2878</v>
      </c>
      <c r="P25">
        <v>11825</v>
      </c>
      <c r="Q25">
        <v>4275</v>
      </c>
      <c r="R25">
        <v>27</v>
      </c>
      <c r="U25" s="34">
        <v>897964</v>
      </c>
      <c r="V25" s="34">
        <f t="shared" si="6"/>
        <v>545885</v>
      </c>
      <c r="W25" s="34">
        <f t="shared" si="7"/>
        <v>313979</v>
      </c>
    </row>
    <row r="26" spans="1:23" x14ac:dyDescent="0.35">
      <c r="A26" t="s">
        <v>154</v>
      </c>
      <c r="B26">
        <v>2005465</v>
      </c>
      <c r="C26" s="34">
        <f t="shared" si="0"/>
        <v>585178</v>
      </c>
      <c r="D26">
        <v>564816</v>
      </c>
      <c r="E26">
        <v>369995</v>
      </c>
      <c r="F26">
        <f>SUM(O26:R26)</f>
        <v>17371</v>
      </c>
      <c r="G26" s="34">
        <f t="shared" si="1"/>
        <v>468105</v>
      </c>
      <c r="I26" s="34">
        <f t="shared" si="2"/>
        <v>0.2917916792364863</v>
      </c>
      <c r="J26" s="34">
        <f t="shared" si="3"/>
        <v>0.39767737084124549</v>
      </c>
      <c r="K26" s="34">
        <f t="shared" si="4"/>
        <v>0.56749556676965085</v>
      </c>
      <c r="L26" s="34">
        <f t="shared" si="5"/>
        <v>3.5781377452232449E-2</v>
      </c>
      <c r="O26">
        <v>2887</v>
      </c>
      <c r="P26" t="s">
        <v>28</v>
      </c>
      <c r="Q26">
        <v>6399</v>
      </c>
      <c r="R26">
        <v>8085</v>
      </c>
      <c r="U26" s="34">
        <v>1420287</v>
      </c>
      <c r="V26" s="34">
        <f t="shared" si="6"/>
        <v>855471</v>
      </c>
      <c r="W26" s="34">
        <f t="shared" si="7"/>
        <v>485476</v>
      </c>
    </row>
    <row r="27" spans="1:23" x14ac:dyDescent="0.35">
      <c r="A27" t="s">
        <v>155</v>
      </c>
      <c r="B27">
        <v>3267467</v>
      </c>
      <c r="C27" s="34">
        <f t="shared" si="0"/>
        <v>1006290</v>
      </c>
      <c r="D27">
        <v>751205</v>
      </c>
      <c r="E27">
        <v>705197</v>
      </c>
      <c r="F27">
        <f>SUM(O27:R27)</f>
        <v>28438</v>
      </c>
      <c r="G27" s="34">
        <f t="shared" si="1"/>
        <v>776337</v>
      </c>
      <c r="I27" s="34">
        <f t="shared" si="2"/>
        <v>0.30797250591972314</v>
      </c>
      <c r="J27" s="34">
        <f t="shared" si="3"/>
        <v>0.33221857466266463</v>
      </c>
      <c r="K27" s="34">
        <f t="shared" si="4"/>
        <v>0.53297345911050009</v>
      </c>
      <c r="L27" s="34">
        <f t="shared" si="5"/>
        <v>3.5336584759715448E-2</v>
      </c>
      <c r="O27" t="s">
        <v>28</v>
      </c>
      <c r="P27" t="s">
        <v>28</v>
      </c>
      <c r="Q27">
        <v>6059</v>
      </c>
      <c r="R27">
        <v>22379</v>
      </c>
      <c r="U27" s="34">
        <v>2261177</v>
      </c>
      <c r="V27" s="34">
        <f t="shared" si="6"/>
        <v>1509972</v>
      </c>
      <c r="W27" s="34">
        <f t="shared" si="7"/>
        <v>804775</v>
      </c>
    </row>
    <row r="28" spans="1:23" x14ac:dyDescent="0.35">
      <c r="A28" t="s">
        <v>156</v>
      </c>
      <c r="B28">
        <v>1409032</v>
      </c>
      <c r="C28" s="34">
        <f t="shared" si="0"/>
        <v>286112</v>
      </c>
      <c r="D28">
        <v>395523</v>
      </c>
      <c r="E28">
        <v>418488</v>
      </c>
      <c r="F28">
        <f>SUM(O28:R28)</f>
        <v>12178</v>
      </c>
      <c r="G28" s="34">
        <f t="shared" si="1"/>
        <v>296731</v>
      </c>
      <c r="I28" s="34">
        <f t="shared" si="2"/>
        <v>0.20305571484536902</v>
      </c>
      <c r="J28" s="34">
        <f t="shared" si="3"/>
        <v>0.35222722901008086</v>
      </c>
      <c r="K28" s="34">
        <f t="shared" si="4"/>
        <v>0.4246773082649502</v>
      </c>
      <c r="L28" s="34">
        <f t="shared" si="5"/>
        <v>3.9422613132022701E-2</v>
      </c>
      <c r="O28">
        <v>3680</v>
      </c>
      <c r="P28" t="s">
        <v>28</v>
      </c>
      <c r="Q28">
        <v>4425</v>
      </c>
      <c r="R28">
        <v>4073</v>
      </c>
      <c r="U28" s="34">
        <v>1122920</v>
      </c>
      <c r="V28" s="34">
        <f t="shared" si="6"/>
        <v>727397</v>
      </c>
      <c r="W28" s="34">
        <f t="shared" si="7"/>
        <v>308909</v>
      </c>
    </row>
    <row r="29" spans="1:23" x14ac:dyDescent="0.35">
      <c r="A29" t="s">
        <v>157</v>
      </c>
      <c r="B29">
        <v>9500851</v>
      </c>
      <c r="C29" s="34">
        <f t="shared" si="0"/>
        <v>3072830</v>
      </c>
      <c r="D29">
        <v>1968215</v>
      </c>
      <c r="E29">
        <v>2220713</v>
      </c>
      <c r="F29">
        <f>SUM(O29:R29)</f>
        <v>83797</v>
      </c>
      <c r="G29" s="34">
        <f t="shared" si="1"/>
        <v>2155296</v>
      </c>
      <c r="I29" s="34">
        <f t="shared" si="2"/>
        <v>0.32342681723984512</v>
      </c>
      <c r="J29" s="34">
        <f t="shared" si="3"/>
        <v>0.30619299470241307</v>
      </c>
      <c r="K29" s="34">
        <f t="shared" si="4"/>
        <v>0.50206062774927873</v>
      </c>
      <c r="L29" s="34">
        <f t="shared" si="5"/>
        <v>3.7424528592604235E-2</v>
      </c>
      <c r="O29">
        <v>39041</v>
      </c>
      <c r="P29">
        <v>23479</v>
      </c>
      <c r="Q29">
        <v>10500</v>
      </c>
      <c r="R29">
        <v>10777</v>
      </c>
      <c r="U29" s="34">
        <v>6428021</v>
      </c>
      <c r="V29" s="34">
        <f t="shared" si="6"/>
        <v>4459806</v>
      </c>
      <c r="W29" s="34">
        <f t="shared" si="7"/>
        <v>2239093</v>
      </c>
    </row>
    <row r="30" spans="1:23" x14ac:dyDescent="0.35">
      <c r="A30" t="s">
        <v>158</v>
      </c>
      <c r="B30">
        <v>2130256</v>
      </c>
      <c r="C30" s="34">
        <f t="shared" si="0"/>
        <v>571867</v>
      </c>
      <c r="D30">
        <v>423391</v>
      </c>
      <c r="E30">
        <v>478802</v>
      </c>
      <c r="F30">
        <f>SUM(O30:R30)</f>
        <v>21210</v>
      </c>
      <c r="G30" s="34">
        <f t="shared" si="1"/>
        <v>634986</v>
      </c>
      <c r="I30" s="34">
        <f t="shared" si="2"/>
        <v>0.26844989522386042</v>
      </c>
      <c r="J30" s="34">
        <f t="shared" si="3"/>
        <v>0.27168505424512107</v>
      </c>
      <c r="K30" s="34">
        <f t="shared" si="4"/>
        <v>0.57814727426832468</v>
      </c>
      <c r="L30" s="34">
        <f t="shared" si="5"/>
        <v>3.2322659693140465E-2</v>
      </c>
      <c r="O30">
        <v>4611</v>
      </c>
      <c r="P30">
        <v>9553</v>
      </c>
      <c r="Q30">
        <v>3745</v>
      </c>
      <c r="R30">
        <v>3301</v>
      </c>
      <c r="U30" s="34">
        <v>1558389</v>
      </c>
      <c r="V30" s="34">
        <f t="shared" si="6"/>
        <v>1134998</v>
      </c>
      <c r="W30" s="34">
        <f t="shared" si="7"/>
        <v>656196</v>
      </c>
    </row>
    <row r="31" spans="1:23" x14ac:dyDescent="0.35">
      <c r="A31" t="s">
        <v>159</v>
      </c>
      <c r="B31">
        <v>19867248</v>
      </c>
      <c r="C31" s="34">
        <f t="shared" si="0"/>
        <v>6000068</v>
      </c>
      <c r="D31">
        <v>3578899</v>
      </c>
      <c r="E31">
        <v>4619195</v>
      </c>
      <c r="F31">
        <f>SUM(O31:R31)</f>
        <v>64401</v>
      </c>
      <c r="G31" s="34">
        <f t="shared" si="1"/>
        <v>5604685</v>
      </c>
      <c r="I31" s="34">
        <f t="shared" si="2"/>
        <v>0.30200800835626557</v>
      </c>
      <c r="J31" s="34">
        <f t="shared" si="3"/>
        <v>0.25808412380887824</v>
      </c>
      <c r="K31" s="34">
        <f t="shared" si="4"/>
        <v>0.55102363553250533</v>
      </c>
      <c r="L31" s="34">
        <f t="shared" si="5"/>
        <v>1.1360032287391653E-2</v>
      </c>
      <c r="O31">
        <v>46698</v>
      </c>
      <c r="P31" t="s">
        <v>28</v>
      </c>
      <c r="Q31">
        <v>5338</v>
      </c>
      <c r="R31">
        <v>12365</v>
      </c>
      <c r="U31" s="34">
        <v>13867180</v>
      </c>
      <c r="V31" s="34">
        <f t="shared" si="6"/>
        <v>10288281</v>
      </c>
      <c r="W31" s="34">
        <f t="shared" si="7"/>
        <v>5669086</v>
      </c>
    </row>
    <row r="32" spans="1:23" x14ac:dyDescent="0.35">
      <c r="A32" t="s">
        <v>160</v>
      </c>
      <c r="B32">
        <v>11046024</v>
      </c>
      <c r="C32" s="34">
        <f t="shared" si="0"/>
        <v>2905892</v>
      </c>
      <c r="D32">
        <v>2898423</v>
      </c>
      <c r="E32">
        <v>2715375</v>
      </c>
      <c r="F32">
        <f>SUM(O32:R32)</f>
        <v>85343</v>
      </c>
      <c r="G32" s="34">
        <f t="shared" si="1"/>
        <v>2440991</v>
      </c>
      <c r="I32" s="34">
        <f t="shared" si="2"/>
        <v>0.26307130964046432</v>
      </c>
      <c r="J32" s="34">
        <f t="shared" si="3"/>
        <v>0.35606584758085003</v>
      </c>
      <c r="K32" s="34">
        <f t="shared" si="4"/>
        <v>0.48196761781319797</v>
      </c>
      <c r="L32" s="34">
        <f t="shared" si="5"/>
        <v>3.3781360659358578E-2</v>
      </c>
      <c r="O32">
        <v>24762</v>
      </c>
      <c r="P32" t="s">
        <v>28</v>
      </c>
      <c r="Q32">
        <v>22125</v>
      </c>
      <c r="R32">
        <v>38456</v>
      </c>
      <c r="U32" s="34">
        <v>8140132</v>
      </c>
      <c r="V32" s="34">
        <f t="shared" si="6"/>
        <v>5241709</v>
      </c>
      <c r="W32" s="34">
        <f t="shared" si="7"/>
        <v>2526334</v>
      </c>
    </row>
    <row r="33" spans="1:23" x14ac:dyDescent="0.35">
      <c r="A33" t="s">
        <v>161</v>
      </c>
      <c r="B33">
        <v>796568</v>
      </c>
      <c r="C33" s="34">
        <f t="shared" si="0"/>
        <v>207067</v>
      </c>
      <c r="D33">
        <v>246505</v>
      </c>
      <c r="E33">
        <v>112327</v>
      </c>
      <c r="F33">
        <f>SUM(O33:R33)</f>
        <v>9323</v>
      </c>
      <c r="G33" s="34">
        <f t="shared" si="1"/>
        <v>221346</v>
      </c>
      <c r="I33" s="34">
        <f t="shared" si="2"/>
        <v>0.25994893091361942</v>
      </c>
      <c r="J33" s="34">
        <f t="shared" si="3"/>
        <v>0.41815874782231072</v>
      </c>
      <c r="K33" s="34">
        <f t="shared" si="4"/>
        <v>0.67251221588589949</v>
      </c>
      <c r="L33" s="34">
        <f t="shared" si="5"/>
        <v>4.0417221213080216E-2</v>
      </c>
      <c r="O33" t="s">
        <v>28</v>
      </c>
      <c r="P33" t="s">
        <v>28</v>
      </c>
      <c r="Q33">
        <v>6227</v>
      </c>
      <c r="R33">
        <v>3096</v>
      </c>
      <c r="U33" s="34">
        <v>589501</v>
      </c>
      <c r="V33" s="34">
        <f t="shared" si="6"/>
        <v>342996</v>
      </c>
      <c r="W33" s="34">
        <f t="shared" si="7"/>
        <v>230669</v>
      </c>
    </row>
    <row r="34" spans="1:23" x14ac:dyDescent="0.35">
      <c r="A34" t="s">
        <v>162</v>
      </c>
      <c r="B34">
        <v>11883304</v>
      </c>
      <c r="C34" s="34">
        <f t="shared" si="0"/>
        <v>2935418</v>
      </c>
      <c r="D34">
        <v>3180116</v>
      </c>
      <c r="E34">
        <v>2533699</v>
      </c>
      <c r="F34">
        <f>SUM(O34:R34)</f>
        <v>53973</v>
      </c>
      <c r="G34" s="34">
        <f t="shared" si="1"/>
        <v>3180098</v>
      </c>
      <c r="I34" s="34">
        <f t="shared" si="2"/>
        <v>0.24702035730130273</v>
      </c>
      <c r="J34" s="34">
        <f t="shared" si="3"/>
        <v>0.35540417032581773</v>
      </c>
      <c r="K34" s="34">
        <f t="shared" si="4"/>
        <v>0.56071427952224173</v>
      </c>
      <c r="L34" s="34">
        <f t="shared" si="5"/>
        <v>1.6688872940637357E-2</v>
      </c>
      <c r="O34" t="s">
        <v>28</v>
      </c>
      <c r="P34" t="s">
        <v>28</v>
      </c>
      <c r="Q34">
        <v>28200</v>
      </c>
      <c r="R34">
        <v>25773</v>
      </c>
      <c r="U34" s="34">
        <v>8947886</v>
      </c>
      <c r="V34" s="34">
        <f t="shared" si="6"/>
        <v>5767770</v>
      </c>
      <c r="W34" s="34">
        <f t="shared" si="7"/>
        <v>3234071</v>
      </c>
    </row>
    <row r="35" spans="1:23" x14ac:dyDescent="0.35">
      <c r="A35" t="s">
        <v>163</v>
      </c>
      <c r="B35">
        <v>4095393</v>
      </c>
      <c r="C35" s="34">
        <f t="shared" si="0"/>
        <v>1139046</v>
      </c>
      <c r="D35">
        <v>1036213</v>
      </c>
      <c r="E35">
        <v>499599</v>
      </c>
      <c r="F35">
        <f>SUM(O35:R35)</f>
        <v>30361</v>
      </c>
      <c r="G35" s="34">
        <f t="shared" si="1"/>
        <v>1390174</v>
      </c>
      <c r="I35" s="34">
        <f t="shared" si="2"/>
        <v>0.27812861915816139</v>
      </c>
      <c r="J35" s="34">
        <f t="shared" si="3"/>
        <v>0.35050452467183318</v>
      </c>
      <c r="K35" s="34">
        <f t="shared" si="4"/>
        <v>0.73981034656956235</v>
      </c>
      <c r="L35" s="34">
        <f t="shared" si="5"/>
        <v>2.1372933437050125E-2</v>
      </c>
      <c r="O35" t="s">
        <v>28</v>
      </c>
      <c r="P35">
        <v>16020</v>
      </c>
      <c r="Q35">
        <v>9198</v>
      </c>
      <c r="R35">
        <v>5143</v>
      </c>
      <c r="U35" s="34">
        <v>2956347</v>
      </c>
      <c r="V35" s="34">
        <f t="shared" si="6"/>
        <v>1920134</v>
      </c>
      <c r="W35" s="34">
        <f t="shared" si="7"/>
        <v>1420535</v>
      </c>
    </row>
    <row r="36" spans="1:23" x14ac:dyDescent="0.35">
      <c r="A36" t="s">
        <v>164</v>
      </c>
      <c r="B36">
        <v>4272371</v>
      </c>
      <c r="C36" s="34">
        <f t="shared" si="0"/>
        <v>1063838</v>
      </c>
      <c r="D36">
        <v>919480</v>
      </c>
      <c r="E36">
        <v>1240600</v>
      </c>
      <c r="F36">
        <f>SUM(O36:R36)</f>
        <v>84413</v>
      </c>
      <c r="G36" s="34">
        <f t="shared" si="1"/>
        <v>964040</v>
      </c>
      <c r="I36" s="34">
        <f t="shared" si="2"/>
        <v>0.2490041244077352</v>
      </c>
      <c r="J36" s="34">
        <f t="shared" si="3"/>
        <v>0.28657333429327358</v>
      </c>
      <c r="K36" s="34">
        <f t="shared" si="4"/>
        <v>0.45802915004589234</v>
      </c>
      <c r="L36" s="34">
        <f t="shared" si="5"/>
        <v>8.051195427930484E-2</v>
      </c>
      <c r="O36">
        <v>19099</v>
      </c>
      <c r="P36">
        <v>33733</v>
      </c>
      <c r="Q36">
        <v>9061</v>
      </c>
      <c r="R36">
        <v>22520</v>
      </c>
      <c r="U36" s="34">
        <v>3208533</v>
      </c>
      <c r="V36" s="34">
        <f t="shared" si="6"/>
        <v>2289053</v>
      </c>
      <c r="W36" s="34">
        <f t="shared" si="7"/>
        <v>1048453</v>
      </c>
    </row>
    <row r="37" spans="1:23" x14ac:dyDescent="0.35">
      <c r="A37" t="s">
        <v>165</v>
      </c>
      <c r="B37">
        <v>13078751</v>
      </c>
      <c r="C37" s="34">
        <f t="shared" si="0"/>
        <v>3174116</v>
      </c>
      <c r="D37">
        <v>3543308</v>
      </c>
      <c r="E37">
        <v>3423042</v>
      </c>
      <c r="F37">
        <f>SUM(O37:R37)</f>
        <v>92382</v>
      </c>
      <c r="G37" s="34">
        <f t="shared" si="1"/>
        <v>2845903</v>
      </c>
      <c r="I37" s="34">
        <f t="shared" si="2"/>
        <v>0.24269259350529726</v>
      </c>
      <c r="J37" s="34">
        <f t="shared" si="3"/>
        <v>0.35774241049771144</v>
      </c>
      <c r="K37" s="34">
        <f t="shared" si="4"/>
        <v>0.46189812282877457</v>
      </c>
      <c r="L37" s="34">
        <f t="shared" si="5"/>
        <v>3.1440789440098559E-2</v>
      </c>
      <c r="O37">
        <v>34538</v>
      </c>
      <c r="P37" t="s">
        <v>28</v>
      </c>
      <c r="Q37">
        <v>33318</v>
      </c>
      <c r="R37">
        <v>24526</v>
      </c>
      <c r="U37" s="34">
        <v>9904635</v>
      </c>
      <c r="V37" s="34">
        <f t="shared" si="6"/>
        <v>6361327</v>
      </c>
      <c r="W37" s="34">
        <f t="shared" si="7"/>
        <v>2938285</v>
      </c>
    </row>
    <row r="38" spans="1:23" x14ac:dyDescent="0.35">
      <c r="A38" t="s">
        <v>166</v>
      </c>
      <c r="B38">
        <v>1112308</v>
      </c>
      <c r="C38" s="34">
        <f t="shared" si="0"/>
        <v>285162</v>
      </c>
      <c r="D38">
        <v>214406</v>
      </c>
      <c r="E38">
        <v>285156</v>
      </c>
      <c r="F38">
        <f>SUM(O38:R38)</f>
        <v>13824</v>
      </c>
      <c r="G38" s="34">
        <f t="shared" si="1"/>
        <v>313760</v>
      </c>
      <c r="I38" s="34">
        <f t="shared" si="2"/>
        <v>0.25636963862527284</v>
      </c>
      <c r="J38" s="34">
        <f t="shared" si="3"/>
        <v>0.25921179574101794</v>
      </c>
      <c r="K38" s="34">
        <f t="shared" si="4"/>
        <v>0.5346215360511799</v>
      </c>
      <c r="L38" s="34">
        <f t="shared" si="5"/>
        <v>4.2199863241183938E-2</v>
      </c>
      <c r="O38">
        <v>2900</v>
      </c>
      <c r="P38">
        <v>5045</v>
      </c>
      <c r="Q38">
        <v>1617</v>
      </c>
      <c r="R38">
        <v>4262</v>
      </c>
      <c r="U38" s="34">
        <v>827146</v>
      </c>
      <c r="V38" s="34">
        <f t="shared" si="6"/>
        <v>612740</v>
      </c>
      <c r="W38" s="34">
        <f t="shared" si="7"/>
        <v>327584</v>
      </c>
    </row>
    <row r="39" spans="1:23" x14ac:dyDescent="0.35">
      <c r="A39" t="s">
        <v>167</v>
      </c>
      <c r="B39">
        <v>5478831</v>
      </c>
      <c r="C39" s="34">
        <f t="shared" si="0"/>
        <v>1349098</v>
      </c>
      <c r="D39">
        <v>1483747</v>
      </c>
      <c r="E39">
        <v>1028452</v>
      </c>
      <c r="F39">
        <f>SUM(O39:R39)</f>
        <v>35941</v>
      </c>
      <c r="G39" s="34">
        <f t="shared" si="1"/>
        <v>1581593</v>
      </c>
      <c r="I39" s="34">
        <f t="shared" si="2"/>
        <v>0.24623829426386759</v>
      </c>
      <c r="J39" s="34">
        <f t="shared" si="3"/>
        <v>0.35928400213766848</v>
      </c>
      <c r="K39" s="34">
        <f t="shared" si="4"/>
        <v>0.61131615964710317</v>
      </c>
      <c r="L39" s="34">
        <f t="shared" si="5"/>
        <v>2.2219625677110961E-2</v>
      </c>
      <c r="O39">
        <v>8117</v>
      </c>
      <c r="P39" t="s">
        <v>28</v>
      </c>
      <c r="Q39">
        <v>12669</v>
      </c>
      <c r="R39">
        <v>15155</v>
      </c>
      <c r="U39" s="34">
        <v>4129733</v>
      </c>
      <c r="V39" s="34">
        <f t="shared" si="6"/>
        <v>2645986</v>
      </c>
      <c r="W39" s="34">
        <f t="shared" si="7"/>
        <v>1617534</v>
      </c>
    </row>
    <row r="40" spans="1:23" x14ac:dyDescent="0.35">
      <c r="A40" t="s">
        <v>168</v>
      </c>
      <c r="B40">
        <v>924669</v>
      </c>
      <c r="C40" s="34">
        <f t="shared" si="0"/>
        <v>242712</v>
      </c>
      <c r="D40">
        <v>272081</v>
      </c>
      <c r="E40">
        <v>146859</v>
      </c>
      <c r="F40">
        <f>SUM(O40:R40)</f>
        <v>9982</v>
      </c>
      <c r="G40" s="34">
        <f t="shared" si="1"/>
        <v>253035</v>
      </c>
      <c r="I40" s="34">
        <f t="shared" si="2"/>
        <v>0.26248527851587972</v>
      </c>
      <c r="J40" s="34">
        <f t="shared" si="3"/>
        <v>0.39897090285751152</v>
      </c>
      <c r="K40" s="34">
        <f t="shared" si="4"/>
        <v>0.64169895285403389</v>
      </c>
      <c r="L40" s="34">
        <f t="shared" si="5"/>
        <v>3.7951919457677639E-2</v>
      </c>
      <c r="O40" t="s">
        <v>28</v>
      </c>
      <c r="P40">
        <v>7204</v>
      </c>
      <c r="Q40">
        <v>2778</v>
      </c>
      <c r="R40" t="s">
        <v>28</v>
      </c>
      <c r="U40" s="34">
        <v>681957</v>
      </c>
      <c r="V40" s="34">
        <f t="shared" si="6"/>
        <v>409876</v>
      </c>
      <c r="W40" s="34">
        <f t="shared" si="7"/>
        <v>263017</v>
      </c>
    </row>
    <row r="41" spans="1:23" x14ac:dyDescent="0.35">
      <c r="A41" t="s">
        <v>169</v>
      </c>
      <c r="B41">
        <v>7227750</v>
      </c>
      <c r="C41" s="34">
        <f t="shared" si="0"/>
        <v>1881790</v>
      </c>
      <c r="D41">
        <v>1966865</v>
      </c>
      <c r="E41">
        <v>1056265</v>
      </c>
      <c r="F41">
        <f>SUM(O41:R41)</f>
        <v>40812</v>
      </c>
      <c r="G41" s="34">
        <f t="shared" si="1"/>
        <v>2282018</v>
      </c>
      <c r="I41" s="34">
        <f t="shared" si="2"/>
        <v>0.26035626578119053</v>
      </c>
      <c r="J41" s="34">
        <f t="shared" si="3"/>
        <v>0.36791614602428752</v>
      </c>
      <c r="K41" s="34">
        <f t="shared" si="4"/>
        <v>0.68741186619494277</v>
      </c>
      <c r="L41" s="34">
        <f t="shared" si="5"/>
        <v>1.7569947004300788E-2</v>
      </c>
      <c r="O41">
        <v>8967</v>
      </c>
      <c r="P41">
        <v>21535</v>
      </c>
      <c r="Q41" t="s">
        <v>28</v>
      </c>
      <c r="R41">
        <v>10310</v>
      </c>
      <c r="U41" s="34">
        <v>5345960</v>
      </c>
      <c r="V41" s="34">
        <f t="shared" si="6"/>
        <v>3379095</v>
      </c>
      <c r="W41" s="34">
        <f t="shared" si="7"/>
        <v>2322830</v>
      </c>
    </row>
    <row r="42" spans="1:23" x14ac:dyDescent="0.35">
      <c r="A42" t="s">
        <v>170</v>
      </c>
      <c r="B42">
        <v>31290831</v>
      </c>
      <c r="C42" s="34">
        <f t="shared" si="0"/>
        <v>11138007</v>
      </c>
      <c r="D42">
        <v>6393597</v>
      </c>
      <c r="E42">
        <v>4835250</v>
      </c>
      <c r="F42">
        <f>SUM(O42:R42)</f>
        <v>159827</v>
      </c>
      <c r="G42" s="34">
        <f t="shared" si="1"/>
        <v>8764150</v>
      </c>
      <c r="I42" s="34">
        <f t="shared" si="2"/>
        <v>0.35595114108666531</v>
      </c>
      <c r="J42" s="34">
        <f t="shared" si="3"/>
        <v>0.31725563623242081</v>
      </c>
      <c r="K42" s="34">
        <f t="shared" si="4"/>
        <v>0.6485812756777688</v>
      </c>
      <c r="L42" s="34">
        <f t="shared" si="5"/>
        <v>1.7909839973814366E-2</v>
      </c>
      <c r="O42">
        <v>82701</v>
      </c>
      <c r="P42" t="s">
        <v>28</v>
      </c>
      <c r="Q42">
        <v>68557</v>
      </c>
      <c r="R42">
        <v>8569</v>
      </c>
      <c r="U42" s="34">
        <v>20152824</v>
      </c>
      <c r="V42" s="34">
        <f t="shared" si="6"/>
        <v>13759227</v>
      </c>
      <c r="W42" s="34">
        <f t="shared" si="7"/>
        <v>8923977</v>
      </c>
    </row>
    <row r="43" spans="1:23" x14ac:dyDescent="0.35">
      <c r="A43" t="s">
        <v>171</v>
      </c>
      <c r="B43">
        <v>3503613</v>
      </c>
      <c r="C43" s="34">
        <f t="shared" si="0"/>
        <v>1125035</v>
      </c>
      <c r="D43">
        <v>883818</v>
      </c>
      <c r="E43">
        <v>562566</v>
      </c>
      <c r="F43">
        <f>SUM(O43:R43)</f>
        <v>42110</v>
      </c>
      <c r="G43" s="34">
        <f t="shared" si="1"/>
        <v>890084</v>
      </c>
      <c r="I43" s="34">
        <f t="shared" si="2"/>
        <v>0.32110709715941799</v>
      </c>
      <c r="J43" s="34">
        <f t="shared" si="3"/>
        <v>0.3715741085640244</v>
      </c>
      <c r="K43" s="34">
        <f t="shared" si="4"/>
        <v>0.62364125344536914</v>
      </c>
      <c r="L43" s="34">
        <f t="shared" si="5"/>
        <v>4.5173000469859281E-2</v>
      </c>
      <c r="O43">
        <v>8222</v>
      </c>
      <c r="P43" t="s">
        <v>28</v>
      </c>
      <c r="Q43">
        <v>16902</v>
      </c>
      <c r="R43">
        <v>16986</v>
      </c>
      <c r="U43" s="34">
        <v>2378578</v>
      </c>
      <c r="V43" s="34">
        <f t="shared" si="6"/>
        <v>1494760</v>
      </c>
      <c r="W43" s="34">
        <f t="shared" si="7"/>
        <v>932194</v>
      </c>
    </row>
    <row r="44" spans="1:23" x14ac:dyDescent="0.35">
      <c r="A44" t="s">
        <v>172</v>
      </c>
      <c r="B44">
        <v>648493</v>
      </c>
      <c r="C44" s="34">
        <f t="shared" si="0"/>
        <v>122478</v>
      </c>
      <c r="D44">
        <v>119395</v>
      </c>
      <c r="E44">
        <v>235791</v>
      </c>
      <c r="F44">
        <f>SUM(O44:R44)</f>
        <v>14236</v>
      </c>
      <c r="G44" s="34">
        <f t="shared" si="1"/>
        <v>156593</v>
      </c>
      <c r="I44" s="34">
        <f t="shared" si="2"/>
        <v>0.18886556986736944</v>
      </c>
      <c r="J44" s="34">
        <f t="shared" si="3"/>
        <v>0.22698021919527009</v>
      </c>
      <c r="K44" s="34">
        <f t="shared" si="4"/>
        <v>0.42011952191235058</v>
      </c>
      <c r="L44" s="34">
        <f t="shared" si="5"/>
        <v>8.3334796785089177E-2</v>
      </c>
      <c r="O44">
        <v>893</v>
      </c>
      <c r="P44">
        <v>5905</v>
      </c>
      <c r="Q44">
        <v>1828</v>
      </c>
      <c r="R44">
        <v>5610</v>
      </c>
      <c r="U44" s="34">
        <v>526015</v>
      </c>
      <c r="V44" s="34">
        <f t="shared" si="6"/>
        <v>406620</v>
      </c>
      <c r="W44" s="34">
        <f t="shared" si="7"/>
        <v>170829</v>
      </c>
    </row>
    <row r="45" spans="1:23" x14ac:dyDescent="0.35">
      <c r="A45" t="s">
        <v>173</v>
      </c>
      <c r="B45">
        <v>8811195</v>
      </c>
      <c r="C45" s="34">
        <f t="shared" si="0"/>
        <v>2436420</v>
      </c>
      <c r="D45">
        <v>2075085</v>
      </c>
      <c r="E45">
        <v>2335395</v>
      </c>
      <c r="F45">
        <f>SUM(O45:R45)</f>
        <v>95461</v>
      </c>
      <c r="G45" s="34">
        <f t="shared" si="1"/>
        <v>1868834</v>
      </c>
      <c r="I45" s="34">
        <f t="shared" si="2"/>
        <v>0.27651413911506895</v>
      </c>
      <c r="J45" s="34">
        <f t="shared" si="3"/>
        <v>0.32551501817711215</v>
      </c>
      <c r="K45" s="34">
        <f t="shared" si="4"/>
        <v>0.45684572608722956</v>
      </c>
      <c r="L45" s="34">
        <f t="shared" si="5"/>
        <v>4.8598097536266191E-2</v>
      </c>
      <c r="O45">
        <v>34888</v>
      </c>
      <c r="P45" t="s">
        <v>28</v>
      </c>
      <c r="Q45">
        <v>19814</v>
      </c>
      <c r="R45">
        <v>40759</v>
      </c>
      <c r="U45" s="34">
        <v>6374775</v>
      </c>
      <c r="V45" s="34">
        <f t="shared" si="6"/>
        <v>4299690</v>
      </c>
      <c r="W45" s="34">
        <f t="shared" si="7"/>
        <v>1964295</v>
      </c>
    </row>
    <row r="46" spans="1:23" x14ac:dyDescent="0.35">
      <c r="A46" t="s">
        <v>174</v>
      </c>
      <c r="B46">
        <v>7958180</v>
      </c>
      <c r="C46" s="34">
        <f t="shared" si="0"/>
        <v>2312599</v>
      </c>
      <c r="D46">
        <v>1530923</v>
      </c>
      <c r="E46">
        <v>2245849</v>
      </c>
      <c r="F46">
        <f>SUM(O46:R46)</f>
        <v>147471</v>
      </c>
      <c r="G46" s="34">
        <f t="shared" si="1"/>
        <v>1721338</v>
      </c>
      <c r="I46" s="34">
        <f t="shared" si="2"/>
        <v>0.29059395489923573</v>
      </c>
      <c r="J46" s="34">
        <f t="shared" si="3"/>
        <v>0.27117191304136812</v>
      </c>
      <c r="K46" s="34">
        <f t="shared" si="4"/>
        <v>0.45418331244054794</v>
      </c>
      <c r="L46" s="34">
        <f t="shared" si="5"/>
        <v>7.8911756097065022E-2</v>
      </c>
      <c r="O46">
        <v>29754</v>
      </c>
      <c r="P46">
        <v>54868</v>
      </c>
      <c r="Q46">
        <v>16428</v>
      </c>
      <c r="R46">
        <v>46421</v>
      </c>
      <c r="U46" s="34">
        <v>5645581</v>
      </c>
      <c r="V46" s="34">
        <f t="shared" si="6"/>
        <v>4114658</v>
      </c>
      <c r="W46" s="34">
        <f t="shared" si="7"/>
        <v>1868809</v>
      </c>
    </row>
    <row r="47" spans="1:23" x14ac:dyDescent="0.35">
      <c r="A47" t="s">
        <v>175</v>
      </c>
      <c r="B47">
        <v>1769979</v>
      </c>
      <c r="C47" s="34">
        <f t="shared" si="0"/>
        <v>380424</v>
      </c>
      <c r="D47">
        <v>533556</v>
      </c>
      <c r="E47">
        <v>214309</v>
      </c>
      <c r="F47">
        <f>SUM(O47:R47)</f>
        <v>14717</v>
      </c>
      <c r="G47" s="34">
        <f t="shared" si="1"/>
        <v>626973</v>
      </c>
      <c r="I47" s="34">
        <f t="shared" si="2"/>
        <v>0.21493136359244941</v>
      </c>
      <c r="J47" s="34">
        <f t="shared" si="3"/>
        <v>0.38397616503125104</v>
      </c>
      <c r="K47" s="34">
        <f t="shared" si="4"/>
        <v>0.74963872621346517</v>
      </c>
      <c r="L47" s="34">
        <f t="shared" si="5"/>
        <v>2.2934750424659884E-2</v>
      </c>
      <c r="O47">
        <v>2531</v>
      </c>
      <c r="P47">
        <v>8947</v>
      </c>
      <c r="Q47">
        <v>3047</v>
      </c>
      <c r="R47">
        <v>192</v>
      </c>
      <c r="U47" s="34">
        <v>1389555</v>
      </c>
      <c r="V47" s="34">
        <f t="shared" si="6"/>
        <v>855999</v>
      </c>
      <c r="W47" s="34">
        <f t="shared" si="7"/>
        <v>641690</v>
      </c>
    </row>
    <row r="48" spans="1:23" x14ac:dyDescent="0.35">
      <c r="A48" t="s">
        <v>176</v>
      </c>
      <c r="B48">
        <v>5960975</v>
      </c>
      <c r="C48" s="34">
        <f t="shared" si="0"/>
        <v>1476151</v>
      </c>
      <c r="D48">
        <v>1697626</v>
      </c>
      <c r="E48">
        <v>1668229</v>
      </c>
      <c r="F48">
        <f>SUM(O48:R48)</f>
        <v>57063</v>
      </c>
      <c r="G48" s="34">
        <f t="shared" si="1"/>
        <v>1061906</v>
      </c>
      <c r="I48" s="34">
        <f t="shared" si="2"/>
        <v>0.24763583138664397</v>
      </c>
      <c r="J48" s="34">
        <f t="shared" si="3"/>
        <v>0.37852678276784107</v>
      </c>
      <c r="K48" s="34">
        <f t="shared" si="4"/>
        <v>0.40146735179919046</v>
      </c>
      <c r="L48" s="34">
        <f t="shared" si="5"/>
        <v>5.0996050828932708E-2</v>
      </c>
      <c r="O48">
        <v>12275</v>
      </c>
      <c r="P48">
        <v>17740</v>
      </c>
      <c r="Q48">
        <v>10511</v>
      </c>
      <c r="R48">
        <v>16537</v>
      </c>
      <c r="U48" s="34">
        <v>4484824</v>
      </c>
      <c r="V48" s="34">
        <f t="shared" si="6"/>
        <v>2787198</v>
      </c>
      <c r="W48" s="34">
        <f t="shared" si="7"/>
        <v>1118969</v>
      </c>
    </row>
    <row r="49" spans="1:23" x14ac:dyDescent="0.35">
      <c r="A49" t="s">
        <v>177</v>
      </c>
      <c r="B49">
        <v>587618</v>
      </c>
      <c r="C49" s="34">
        <f t="shared" si="0"/>
        <v>145181</v>
      </c>
      <c r="D49">
        <v>192633</v>
      </c>
      <c r="E49">
        <v>69527</v>
      </c>
      <c r="F49">
        <f>SUM(O49:R49)</f>
        <v>6888</v>
      </c>
      <c r="G49" s="34">
        <f t="shared" si="1"/>
        <v>173389</v>
      </c>
      <c r="I49" s="34">
        <f t="shared" si="2"/>
        <v>0.24706697208050127</v>
      </c>
      <c r="J49" s="34">
        <f t="shared" si="3"/>
        <v>0.43539080140223352</v>
      </c>
      <c r="K49" s="34">
        <f t="shared" si="4"/>
        <v>0.72167379225312644</v>
      </c>
      <c r="L49" s="34">
        <f t="shared" si="5"/>
        <v>3.8207869001591996E-2</v>
      </c>
      <c r="O49" t="s">
        <v>28</v>
      </c>
      <c r="P49" t="s">
        <v>28</v>
      </c>
      <c r="Q49">
        <v>4193</v>
      </c>
      <c r="R49">
        <v>2695</v>
      </c>
      <c r="U49" s="34">
        <v>442437</v>
      </c>
      <c r="V49" s="34">
        <f t="shared" si="6"/>
        <v>249804</v>
      </c>
      <c r="W49" s="34">
        <f t="shared" si="7"/>
        <v>180277</v>
      </c>
    </row>
    <row r="50" spans="1:23" x14ac:dyDescent="0.35">
      <c r="C50" s="34"/>
      <c r="G50" s="34"/>
      <c r="H50" s="34"/>
      <c r="L50" s="34"/>
      <c r="V50" s="34"/>
      <c r="W50" s="34"/>
    </row>
    <row r="51" spans="1:23" x14ac:dyDescent="0.35">
      <c r="A51" t="s">
        <v>128</v>
      </c>
      <c r="B51">
        <v>740133</v>
      </c>
      <c r="C51" s="34">
        <f t="shared" si="0"/>
        <v>205521</v>
      </c>
      <c r="D51">
        <v>184458</v>
      </c>
      <c r="E51">
        <v>140026</v>
      </c>
      <c r="F51">
        <f>SUM(O51:R51)</f>
        <v>13693</v>
      </c>
      <c r="G51" s="34">
        <f t="shared" ref="G50:G53" si="8">B51-SUM(C51:F51)</f>
        <v>196435</v>
      </c>
      <c r="H51" s="34"/>
      <c r="I51" s="34">
        <f t="shared" ref="I50:I53" si="9">C51/B51</f>
        <v>0.2776811735188135</v>
      </c>
      <c r="J51" s="34">
        <f t="shared" ref="J50:J53" si="10">D51/U51</f>
        <v>0.34503153689030547</v>
      </c>
      <c r="K51" s="34">
        <f t="shared" si="4"/>
        <v>0.60010166955111177</v>
      </c>
      <c r="L51" s="34">
        <f t="shared" si="5"/>
        <v>6.5165042259955841E-2</v>
      </c>
      <c r="O51">
        <v>2342</v>
      </c>
      <c r="P51">
        <v>5670</v>
      </c>
      <c r="Q51">
        <v>3040</v>
      </c>
      <c r="R51">
        <v>2641</v>
      </c>
      <c r="U51" s="34">
        <v>534612</v>
      </c>
      <c r="V51" s="34">
        <f t="shared" si="6"/>
        <v>350154</v>
      </c>
      <c r="W51" s="34">
        <f t="shared" si="7"/>
        <v>210128</v>
      </c>
    </row>
    <row r="52" spans="1:23" x14ac:dyDescent="0.35">
      <c r="A52" t="s">
        <v>135</v>
      </c>
      <c r="B52">
        <v>702250</v>
      </c>
      <c r="C52" s="34">
        <f t="shared" si="0"/>
        <v>184898</v>
      </c>
      <c r="D52">
        <v>21076</v>
      </c>
      <c r="E52">
        <v>294185</v>
      </c>
      <c r="F52">
        <f>SUM(O52:R52)</f>
        <v>10608</v>
      </c>
      <c r="G52" s="34">
        <f t="shared" si="8"/>
        <v>191483</v>
      </c>
      <c r="H52" s="34"/>
      <c r="I52" s="34">
        <f t="shared" si="9"/>
        <v>0.2632936988252047</v>
      </c>
      <c r="J52" s="34">
        <f t="shared" si="10"/>
        <v>4.0738220785847934E-2</v>
      </c>
      <c r="K52" s="34">
        <f t="shared" si="4"/>
        <v>0.40721493684965626</v>
      </c>
      <c r="L52" s="34">
        <f t="shared" si="5"/>
        <v>5.2491204457397904E-2</v>
      </c>
      <c r="O52" t="s">
        <v>28</v>
      </c>
      <c r="P52">
        <v>2778</v>
      </c>
      <c r="Q52" t="s">
        <v>28</v>
      </c>
      <c r="R52">
        <v>7830</v>
      </c>
      <c r="U52" s="34">
        <v>517352</v>
      </c>
      <c r="V52" s="34">
        <f t="shared" si="6"/>
        <v>496276</v>
      </c>
      <c r="W52" s="34">
        <f t="shared" si="7"/>
        <v>202091</v>
      </c>
    </row>
    <row r="53" spans="1:23" x14ac:dyDescent="0.35">
      <c r="A53" t="s">
        <v>138</v>
      </c>
      <c r="B53">
        <v>1446146</v>
      </c>
      <c r="C53" s="34">
        <f t="shared" si="0"/>
        <v>407350</v>
      </c>
      <c r="D53">
        <v>193661</v>
      </c>
      <c r="E53">
        <v>313044</v>
      </c>
      <c r="F53">
        <f>SUM(O53:R53)</f>
        <v>9996</v>
      </c>
      <c r="G53" s="34">
        <f t="shared" si="8"/>
        <v>522095</v>
      </c>
      <c r="H53" s="34"/>
      <c r="I53" s="34">
        <f t="shared" si="9"/>
        <v>0.281679719751671</v>
      </c>
      <c r="J53" s="34">
        <f t="shared" si="10"/>
        <v>0.18642832663968673</v>
      </c>
      <c r="K53" s="34">
        <f t="shared" si="4"/>
        <v>0.6295929052754885</v>
      </c>
      <c r="L53" s="34">
        <f t="shared" si="5"/>
        <v>1.8786260244958098E-2</v>
      </c>
      <c r="O53">
        <v>4387</v>
      </c>
      <c r="P53" t="s">
        <v>28</v>
      </c>
      <c r="Q53">
        <v>2733</v>
      </c>
      <c r="R53">
        <v>2876</v>
      </c>
      <c r="U53" s="34">
        <v>1038796</v>
      </c>
      <c r="V53" s="34">
        <f t="shared" si="6"/>
        <v>845135</v>
      </c>
      <c r="W53" s="34">
        <f t="shared" si="7"/>
        <v>532091</v>
      </c>
    </row>
  </sheetData>
  <pageMargins left="0.7" right="0.7" top="0.75" bottom="0.75" header="0.3" footer="0.3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F2C41-67B1-439D-97B5-4AE443059E69}">
  <dimension ref="A1:E49"/>
  <sheetViews>
    <sheetView tabSelected="1" workbookViewId="0">
      <selection activeCell="E50" sqref="E50"/>
    </sheetView>
  </sheetViews>
  <sheetFormatPr defaultRowHeight="14.5" x14ac:dyDescent="0.35"/>
  <cols>
    <col min="1" max="1" width="21.6328125" bestFit="1" customWidth="1"/>
  </cols>
  <sheetData>
    <row r="1" spans="1:5" x14ac:dyDescent="0.35">
      <c r="A1" t="s">
        <v>6</v>
      </c>
      <c r="B1" t="s">
        <v>238</v>
      </c>
      <c r="C1" t="s">
        <v>239</v>
      </c>
      <c r="D1" t="s">
        <v>240</v>
      </c>
      <c r="E1" t="s">
        <v>241</v>
      </c>
    </row>
    <row r="2" spans="1:5" x14ac:dyDescent="0.35">
      <c r="A2" t="s">
        <v>184</v>
      </c>
      <c r="B2">
        <v>0.25319061852969704</v>
      </c>
      <c r="C2">
        <v>0.37972095254760219</v>
      </c>
      <c r="D2">
        <v>0.67670711810889161</v>
      </c>
      <c r="E2">
        <v>1.8593633063044675E-2</v>
      </c>
    </row>
    <row r="3" spans="1:5" x14ac:dyDescent="0.35">
      <c r="A3" t="s">
        <v>186</v>
      </c>
      <c r="B3">
        <v>0.28916288069820784</v>
      </c>
      <c r="C3">
        <v>0.32844054740029388</v>
      </c>
      <c r="D3">
        <v>0.56269729400889268</v>
      </c>
      <c r="E3">
        <v>1.8195271065792457E-2</v>
      </c>
    </row>
    <row r="4" spans="1:5" x14ac:dyDescent="0.35">
      <c r="A4" t="s">
        <v>187</v>
      </c>
      <c r="B4">
        <v>0.27938539429093945</v>
      </c>
      <c r="C4">
        <v>0.3411532532049914</v>
      </c>
      <c r="D4">
        <v>0.72931011435804549</v>
      </c>
      <c r="E4">
        <v>2.4809069290524208E-2</v>
      </c>
    </row>
    <row r="5" spans="1:5" x14ac:dyDescent="0.35">
      <c r="A5" t="s">
        <v>188</v>
      </c>
      <c r="B5">
        <v>0.34039769408349918</v>
      </c>
      <c r="C5">
        <v>0.23383091329477634</v>
      </c>
      <c r="D5">
        <v>0.53449790249585305</v>
      </c>
      <c r="E5">
        <v>4.7657063004714263E-2</v>
      </c>
    </row>
    <row r="6" spans="1:5" x14ac:dyDescent="0.35">
      <c r="A6" t="s">
        <v>189</v>
      </c>
      <c r="B6">
        <v>0.25617218517923562</v>
      </c>
      <c r="C6">
        <v>0.31084010760605857</v>
      </c>
      <c r="D6">
        <v>0.43411556602229012</v>
      </c>
      <c r="E6">
        <v>6.5732653767794663E-2</v>
      </c>
    </row>
    <row r="7" spans="1:5" x14ac:dyDescent="0.35">
      <c r="A7" t="s">
        <v>190</v>
      </c>
      <c r="B7">
        <v>0.27434722994316568</v>
      </c>
      <c r="C7">
        <v>0.27632794665114757</v>
      </c>
      <c r="D7">
        <v>0.48595786530535684</v>
      </c>
      <c r="E7">
        <v>3.2029539810609978E-2</v>
      </c>
    </row>
    <row r="8" spans="1:5" x14ac:dyDescent="0.35">
      <c r="A8" t="s">
        <v>191</v>
      </c>
      <c r="B8">
        <v>0.26478990262539726</v>
      </c>
      <c r="C8">
        <v>0.27716129199100054</v>
      </c>
      <c r="D8">
        <v>0.48167626366431793</v>
      </c>
      <c r="E8">
        <v>3.2691972028179792E-2</v>
      </c>
    </row>
    <row r="9" spans="1:5" x14ac:dyDescent="0.35">
      <c r="A9" t="s">
        <v>193</v>
      </c>
      <c r="B9">
        <v>0.29425443844325411</v>
      </c>
      <c r="C9">
        <v>0.37042651588494024</v>
      </c>
      <c r="D9">
        <v>0.54904498073706809</v>
      </c>
      <c r="E9">
        <v>1.7642011802147931E-2</v>
      </c>
    </row>
    <row r="10" spans="1:5" x14ac:dyDescent="0.35">
      <c r="A10" t="s">
        <v>194</v>
      </c>
      <c r="B10">
        <v>0.30592150276570407</v>
      </c>
      <c r="C10">
        <v>0.34316718182435535</v>
      </c>
      <c r="D10">
        <v>0.50012320272144606</v>
      </c>
      <c r="E10">
        <v>1.5600918379475246E-2</v>
      </c>
    </row>
    <row r="11" spans="1:5" x14ac:dyDescent="0.35">
      <c r="A11" t="s">
        <v>196</v>
      </c>
      <c r="B11">
        <v>0.2774708873167171</v>
      </c>
      <c r="C11">
        <v>0.41849971097226718</v>
      </c>
      <c r="D11">
        <v>0.67303461905248863</v>
      </c>
      <c r="E11">
        <v>4.3884383668133069E-2</v>
      </c>
    </row>
    <row r="12" spans="1:5" x14ac:dyDescent="0.35">
      <c r="A12" t="s">
        <v>197</v>
      </c>
      <c r="B12">
        <v>0.29028372424638621</v>
      </c>
      <c r="C12">
        <v>0.27149827849703223</v>
      </c>
      <c r="D12">
        <v>0.53391913325472151</v>
      </c>
      <c r="E12">
        <v>3.4590944017437973E-2</v>
      </c>
    </row>
    <row r="13" spans="1:5" x14ac:dyDescent="0.35">
      <c r="A13" t="s">
        <v>198</v>
      </c>
      <c r="B13">
        <v>0.26756014167548225</v>
      </c>
      <c r="C13">
        <v>0.33921088252952952</v>
      </c>
      <c r="D13">
        <v>0.65278724351499195</v>
      </c>
      <c r="E13">
        <v>2.4101953452653858E-2</v>
      </c>
    </row>
    <row r="14" spans="1:5" x14ac:dyDescent="0.35">
      <c r="A14" t="s">
        <v>199</v>
      </c>
      <c r="B14">
        <v>0.27034065836430676</v>
      </c>
      <c r="C14">
        <v>0.39194404489802476</v>
      </c>
      <c r="D14">
        <v>0.50820734506450238</v>
      </c>
      <c r="E14">
        <v>3.9963879406472974E-2</v>
      </c>
    </row>
    <row r="15" spans="1:5" x14ac:dyDescent="0.35">
      <c r="A15" t="s">
        <v>200</v>
      </c>
      <c r="B15">
        <v>0.2838336689550886</v>
      </c>
      <c r="C15">
        <v>0.3566724075042022</v>
      </c>
      <c r="D15">
        <v>0.60190363322583051</v>
      </c>
      <c r="E15">
        <v>2.905584291199367E-2</v>
      </c>
    </row>
    <row r="16" spans="1:5" x14ac:dyDescent="0.35">
      <c r="A16" t="s">
        <v>201</v>
      </c>
      <c r="B16">
        <v>0.26661787666736697</v>
      </c>
      <c r="C16">
        <v>0.3974686704130424</v>
      </c>
      <c r="D16">
        <v>0.65275930982236563</v>
      </c>
      <c r="E16">
        <v>2.4928730261512527E-2</v>
      </c>
    </row>
    <row r="17" spans="1:5" x14ac:dyDescent="0.35">
      <c r="A17" t="s">
        <v>202</v>
      </c>
      <c r="B17">
        <v>0.27662547251475728</v>
      </c>
      <c r="C17">
        <v>0.36336310783766623</v>
      </c>
      <c r="D17">
        <v>0.63782178283286495</v>
      </c>
      <c r="E17">
        <v>2.33985159713383E-2</v>
      </c>
    </row>
    <row r="18" spans="1:5" x14ac:dyDescent="0.35">
      <c r="A18" t="s">
        <v>203</v>
      </c>
      <c r="B18">
        <v>0.19239622152693359</v>
      </c>
      <c r="C18">
        <v>0.33310948423934933</v>
      </c>
      <c r="D18">
        <v>0.42428599368851722</v>
      </c>
      <c r="E18">
        <v>5.5272469040440537E-2</v>
      </c>
    </row>
    <row r="19" spans="1:5" x14ac:dyDescent="0.35">
      <c r="A19" t="s">
        <v>204</v>
      </c>
      <c r="B19">
        <v>0.29444103831575452</v>
      </c>
      <c r="C19">
        <v>0.23433658341312008</v>
      </c>
      <c r="D19">
        <v>0.43769316046804496</v>
      </c>
      <c r="E19">
        <v>6.7664273598461527E-2</v>
      </c>
    </row>
    <row r="20" spans="1:5" x14ac:dyDescent="0.35">
      <c r="A20" t="s">
        <v>205</v>
      </c>
      <c r="B20">
        <v>0.2764048114878413</v>
      </c>
      <c r="C20">
        <v>0.24232686684487226</v>
      </c>
      <c r="D20">
        <v>0.45646657444696292</v>
      </c>
      <c r="E20">
        <v>5.3669399589445638E-2</v>
      </c>
    </row>
    <row r="21" spans="1:5" x14ac:dyDescent="0.35">
      <c r="A21" t="s">
        <v>206</v>
      </c>
      <c r="B21">
        <v>0.24604941452847451</v>
      </c>
      <c r="C21">
        <v>0.36840899860766041</v>
      </c>
      <c r="D21">
        <v>0.43328558479397128</v>
      </c>
      <c r="E21">
        <v>5.306141372197018E-2</v>
      </c>
    </row>
    <row r="22" spans="1:5" x14ac:dyDescent="0.35">
      <c r="A22" t="s">
        <v>207</v>
      </c>
      <c r="B22">
        <v>0.26019380471871006</v>
      </c>
      <c r="C22">
        <v>0.35443296703142863</v>
      </c>
      <c r="D22">
        <v>0.40111581092368487</v>
      </c>
      <c r="E22">
        <v>7.0201063616982556E-2</v>
      </c>
    </row>
    <row r="23" spans="1:5" x14ac:dyDescent="0.35">
      <c r="A23" t="s">
        <v>208</v>
      </c>
      <c r="B23">
        <v>0.26070345509497816</v>
      </c>
      <c r="C23">
        <v>0.34366662484264288</v>
      </c>
      <c r="D23">
        <v>0.6732106055927044</v>
      </c>
      <c r="E23">
        <v>1.4142303023494571E-2</v>
      </c>
    </row>
    <row r="24" spans="1:5" x14ac:dyDescent="0.35">
      <c r="A24" t="s">
        <v>209</v>
      </c>
      <c r="B24">
        <v>0.25338029219917296</v>
      </c>
      <c r="C24">
        <v>0.37572174751468373</v>
      </c>
      <c r="D24">
        <v>0.58756503774301772</v>
      </c>
      <c r="E24">
        <v>2.4989432315074285E-2</v>
      </c>
    </row>
    <row r="25" spans="1:5" x14ac:dyDescent="0.35">
      <c r="A25" t="s">
        <v>210</v>
      </c>
      <c r="B25">
        <v>0.21039575882866571</v>
      </c>
      <c r="C25">
        <v>0.39208587426667441</v>
      </c>
      <c r="D25">
        <v>0.5751742583144801</v>
      </c>
      <c r="E25">
        <v>6.0529525860009745E-2</v>
      </c>
    </row>
    <row r="26" spans="1:5" x14ac:dyDescent="0.35">
      <c r="A26" t="s">
        <v>211</v>
      </c>
      <c r="B26">
        <v>0.2917916792364863</v>
      </c>
      <c r="C26">
        <v>0.39767737084124549</v>
      </c>
      <c r="D26">
        <v>0.56749556676965085</v>
      </c>
      <c r="E26">
        <v>3.5781377452232449E-2</v>
      </c>
    </row>
    <row r="27" spans="1:5" x14ac:dyDescent="0.35">
      <c r="A27" t="s">
        <v>212</v>
      </c>
      <c r="B27">
        <v>0.30797250591972314</v>
      </c>
      <c r="C27">
        <v>0.33221857466266463</v>
      </c>
      <c r="D27">
        <v>0.53297345911050009</v>
      </c>
      <c r="E27">
        <v>3.5336584759715448E-2</v>
      </c>
    </row>
    <row r="28" spans="1:5" x14ac:dyDescent="0.35">
      <c r="A28" t="s">
        <v>213</v>
      </c>
      <c r="B28">
        <v>0.20305571484536902</v>
      </c>
      <c r="C28">
        <v>0.35222722901008086</v>
      </c>
      <c r="D28">
        <v>0.4246773082649502</v>
      </c>
      <c r="E28">
        <v>3.9422613132022701E-2</v>
      </c>
    </row>
    <row r="29" spans="1:5" x14ac:dyDescent="0.35">
      <c r="A29" t="s">
        <v>214</v>
      </c>
      <c r="B29">
        <v>0.32342681723984512</v>
      </c>
      <c r="C29">
        <v>0.30619299470241307</v>
      </c>
      <c r="D29">
        <v>0.50206062774927873</v>
      </c>
      <c r="E29">
        <v>3.7424528592604235E-2</v>
      </c>
    </row>
    <row r="30" spans="1:5" x14ac:dyDescent="0.35">
      <c r="A30" t="s">
        <v>215</v>
      </c>
      <c r="B30">
        <v>0.26844989522386042</v>
      </c>
      <c r="C30">
        <v>0.27168505424512107</v>
      </c>
      <c r="D30">
        <v>0.57814727426832468</v>
      </c>
      <c r="E30">
        <v>3.2322659693140465E-2</v>
      </c>
    </row>
    <row r="31" spans="1:5" x14ac:dyDescent="0.35">
      <c r="A31" t="s">
        <v>216</v>
      </c>
      <c r="B31">
        <v>0.30200800835626557</v>
      </c>
      <c r="C31">
        <v>0.25808412380887824</v>
      </c>
      <c r="D31">
        <v>0.55102363553250533</v>
      </c>
      <c r="E31">
        <v>1.1360032287391653E-2</v>
      </c>
    </row>
    <row r="32" spans="1:5" x14ac:dyDescent="0.35">
      <c r="A32" t="s">
        <v>217</v>
      </c>
      <c r="B32">
        <v>0.26307130964046432</v>
      </c>
      <c r="C32">
        <v>0.35606584758085003</v>
      </c>
      <c r="D32">
        <v>0.48196761781319797</v>
      </c>
      <c r="E32">
        <v>3.3781360659358578E-2</v>
      </c>
    </row>
    <row r="33" spans="1:5" x14ac:dyDescent="0.35">
      <c r="A33" t="s">
        <v>218</v>
      </c>
      <c r="B33">
        <v>0.25994893091361942</v>
      </c>
      <c r="C33">
        <v>0.41815874782231072</v>
      </c>
      <c r="D33">
        <v>0.67251221588589949</v>
      </c>
      <c r="E33">
        <v>4.0417221213080216E-2</v>
      </c>
    </row>
    <row r="34" spans="1:5" x14ac:dyDescent="0.35">
      <c r="A34" t="s">
        <v>219</v>
      </c>
      <c r="B34">
        <v>0.24702035730130273</v>
      </c>
      <c r="C34">
        <v>0.35540417032581773</v>
      </c>
      <c r="D34">
        <v>0.56071427952224173</v>
      </c>
      <c r="E34">
        <v>1.6688872940637357E-2</v>
      </c>
    </row>
    <row r="35" spans="1:5" x14ac:dyDescent="0.35">
      <c r="A35" t="s">
        <v>220</v>
      </c>
      <c r="B35">
        <v>0.27812861915816139</v>
      </c>
      <c r="C35">
        <v>0.35050452467183318</v>
      </c>
      <c r="D35">
        <v>0.73981034656956235</v>
      </c>
      <c r="E35">
        <v>2.1372933437050125E-2</v>
      </c>
    </row>
    <row r="36" spans="1:5" x14ac:dyDescent="0.35">
      <c r="A36" t="s">
        <v>221</v>
      </c>
      <c r="B36">
        <v>0.2490041244077352</v>
      </c>
      <c r="C36">
        <v>0.28657333429327358</v>
      </c>
      <c r="D36">
        <v>0.45802915004589234</v>
      </c>
      <c r="E36">
        <v>8.051195427930484E-2</v>
      </c>
    </row>
    <row r="37" spans="1:5" x14ac:dyDescent="0.35">
      <c r="A37" t="s">
        <v>222</v>
      </c>
      <c r="B37">
        <v>0.24269259350529726</v>
      </c>
      <c r="C37">
        <v>0.35774241049771144</v>
      </c>
      <c r="D37">
        <v>0.46189812282877457</v>
      </c>
      <c r="E37">
        <v>3.1440789440098559E-2</v>
      </c>
    </row>
    <row r="38" spans="1:5" x14ac:dyDescent="0.35">
      <c r="A38" t="s">
        <v>223</v>
      </c>
      <c r="B38">
        <v>0.25636963862527284</v>
      </c>
      <c r="C38">
        <v>0.25921179574101794</v>
      </c>
      <c r="D38">
        <v>0.5346215360511799</v>
      </c>
      <c r="E38">
        <v>4.2199863241183938E-2</v>
      </c>
    </row>
    <row r="39" spans="1:5" x14ac:dyDescent="0.35">
      <c r="A39" t="s">
        <v>224</v>
      </c>
      <c r="B39">
        <v>0.24623829426386759</v>
      </c>
      <c r="C39">
        <v>0.35928400213766848</v>
      </c>
      <c r="D39">
        <v>0.61131615964710317</v>
      </c>
      <c r="E39">
        <v>2.2219625677110961E-2</v>
      </c>
    </row>
    <row r="40" spans="1:5" x14ac:dyDescent="0.35">
      <c r="A40" t="s">
        <v>225</v>
      </c>
      <c r="B40">
        <v>0.26248527851587972</v>
      </c>
      <c r="C40">
        <v>0.39897090285751152</v>
      </c>
      <c r="D40">
        <v>0.64169895285403389</v>
      </c>
      <c r="E40">
        <v>3.7951919457677639E-2</v>
      </c>
    </row>
    <row r="41" spans="1:5" x14ac:dyDescent="0.35">
      <c r="A41" t="s">
        <v>226</v>
      </c>
      <c r="B41">
        <v>0.26035626578119053</v>
      </c>
      <c r="C41">
        <v>0.36791614602428752</v>
      </c>
      <c r="D41">
        <v>0.68741186619494277</v>
      </c>
      <c r="E41">
        <v>1.7569947004300788E-2</v>
      </c>
    </row>
    <row r="42" spans="1:5" x14ac:dyDescent="0.35">
      <c r="A42" t="s">
        <v>227</v>
      </c>
      <c r="B42">
        <v>0.35595114108666531</v>
      </c>
      <c r="C42">
        <v>0.31725563623242081</v>
      </c>
      <c r="D42">
        <v>0.6485812756777688</v>
      </c>
      <c r="E42">
        <v>1.7909839973814366E-2</v>
      </c>
    </row>
    <row r="43" spans="1:5" x14ac:dyDescent="0.35">
      <c r="A43" t="s">
        <v>228</v>
      </c>
      <c r="B43">
        <v>0.32110709715941799</v>
      </c>
      <c r="C43">
        <v>0.3715741085640244</v>
      </c>
      <c r="D43">
        <v>0.62364125344536914</v>
      </c>
      <c r="E43">
        <v>4.5173000469859281E-2</v>
      </c>
    </row>
    <row r="44" spans="1:5" x14ac:dyDescent="0.35">
      <c r="A44" t="s">
        <v>229</v>
      </c>
      <c r="B44">
        <v>0.18886556986736944</v>
      </c>
      <c r="C44">
        <v>0.22698021919527009</v>
      </c>
      <c r="D44">
        <v>0.42011952191235058</v>
      </c>
      <c r="E44">
        <v>8.3334796785089177E-2</v>
      </c>
    </row>
    <row r="45" spans="1:5" x14ac:dyDescent="0.35">
      <c r="A45" t="s">
        <v>230</v>
      </c>
      <c r="B45">
        <v>0.27651413911506895</v>
      </c>
      <c r="C45">
        <v>0.32551501817711215</v>
      </c>
      <c r="D45">
        <v>0.45684572608722956</v>
      </c>
      <c r="E45">
        <v>4.8598097536266191E-2</v>
      </c>
    </row>
    <row r="46" spans="1:5" x14ac:dyDescent="0.35">
      <c r="A46" t="s">
        <v>231</v>
      </c>
      <c r="B46">
        <v>0.29059395489923573</v>
      </c>
      <c r="C46">
        <v>0.27117191304136812</v>
      </c>
      <c r="D46">
        <v>0.45418331244054794</v>
      </c>
      <c r="E46">
        <v>7.8911756097065022E-2</v>
      </c>
    </row>
    <row r="47" spans="1:5" x14ac:dyDescent="0.35">
      <c r="A47" t="s">
        <v>232</v>
      </c>
      <c r="B47">
        <v>0.21493136359244941</v>
      </c>
      <c r="C47">
        <v>0.38397616503125104</v>
      </c>
      <c r="D47">
        <v>0.74963872621346517</v>
      </c>
      <c r="E47">
        <v>2.2934750424659884E-2</v>
      </c>
    </row>
    <row r="48" spans="1:5" x14ac:dyDescent="0.35">
      <c r="A48" t="s">
        <v>233</v>
      </c>
      <c r="B48">
        <v>0.24763583138664397</v>
      </c>
      <c r="C48">
        <v>0.37852678276784107</v>
      </c>
      <c r="D48">
        <v>0.40146735179919046</v>
      </c>
      <c r="E48">
        <v>5.0996050828932708E-2</v>
      </c>
    </row>
    <row r="49" spans="1:5" x14ac:dyDescent="0.35">
      <c r="A49" t="s">
        <v>234</v>
      </c>
      <c r="B49">
        <v>0.24706697208050127</v>
      </c>
      <c r="C49">
        <v>0.43539080140223352</v>
      </c>
      <c r="D49">
        <v>0.72167379225312644</v>
      </c>
      <c r="E49">
        <v>3.8207869001591996E-2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E965-7B0C-40C2-B687-CFB38A34E381}">
  <dimension ref="A1:D53"/>
  <sheetViews>
    <sheetView workbookViewId="0">
      <selection activeCell="D1" sqref="D1:D1048576"/>
    </sheetView>
  </sheetViews>
  <sheetFormatPr defaultRowHeight="14.5" x14ac:dyDescent="0.35"/>
  <cols>
    <col min="1" max="1" width="17" bestFit="1" customWidth="1"/>
    <col min="2" max="2" width="23.54296875" bestFit="1" customWidth="1"/>
    <col min="3" max="4" width="9.81640625" bestFit="1" customWidth="1"/>
  </cols>
  <sheetData>
    <row r="1" spans="1:4" x14ac:dyDescent="0.35">
      <c r="A1" t="s">
        <v>182</v>
      </c>
      <c r="B1" t="s">
        <v>235</v>
      </c>
      <c r="C1" t="s">
        <v>236</v>
      </c>
      <c r="D1" t="s">
        <v>237</v>
      </c>
    </row>
    <row r="2" spans="1:4" x14ac:dyDescent="0.35">
      <c r="A2" t="s">
        <v>183</v>
      </c>
      <c r="B2">
        <v>156766239</v>
      </c>
      <c r="C2">
        <v>264798961</v>
      </c>
      <c r="D2">
        <v>244666890</v>
      </c>
    </row>
    <row r="3" spans="1:4" x14ac:dyDescent="0.35">
      <c r="A3" t="s">
        <v>184</v>
      </c>
      <c r="B3">
        <v>2270000</v>
      </c>
      <c r="C3">
        <v>4020661</v>
      </c>
      <c r="D3">
        <v>3851818</v>
      </c>
    </row>
    <row r="4" spans="1:4" x14ac:dyDescent="0.35">
      <c r="A4" t="s">
        <v>185</v>
      </c>
      <c r="B4">
        <v>340981</v>
      </c>
      <c r="C4">
        <v>560512</v>
      </c>
      <c r="D4">
        <v>534612</v>
      </c>
    </row>
    <row r="5" spans="1:4" x14ac:dyDescent="0.35">
      <c r="A5" t="s">
        <v>186</v>
      </c>
      <c r="B5">
        <v>3428011</v>
      </c>
      <c r="C5">
        <v>5951329</v>
      </c>
      <c r="D5">
        <v>5389840</v>
      </c>
    </row>
    <row r="6" spans="1:4" x14ac:dyDescent="0.35">
      <c r="A6" t="s">
        <v>187</v>
      </c>
      <c r="B6">
        <v>1190172</v>
      </c>
      <c r="C6">
        <v>2391789</v>
      </c>
      <c r="D6">
        <v>2225513</v>
      </c>
    </row>
    <row r="7" spans="1:4" x14ac:dyDescent="0.35">
      <c r="A7" t="s">
        <v>188</v>
      </c>
      <c r="B7">
        <v>16140044</v>
      </c>
      <c r="C7">
        <v>30601993</v>
      </c>
      <c r="D7">
        <v>26008952</v>
      </c>
    </row>
    <row r="8" spans="1:4" x14ac:dyDescent="0.35">
      <c r="A8" t="s">
        <v>189</v>
      </c>
      <c r="B8">
        <v>3241120</v>
      </c>
      <c r="C8">
        <v>4728091</v>
      </c>
      <c r="D8">
        <v>4431349</v>
      </c>
    </row>
    <row r="9" spans="1:4" x14ac:dyDescent="0.35">
      <c r="A9" t="s">
        <v>190</v>
      </c>
      <c r="B9">
        <v>1788981</v>
      </c>
      <c r="C9">
        <v>2912979</v>
      </c>
      <c r="D9">
        <v>2666824</v>
      </c>
    </row>
    <row r="10" spans="1:4" x14ac:dyDescent="0.35">
      <c r="A10" t="s">
        <v>191</v>
      </c>
      <c r="B10">
        <v>518330</v>
      </c>
      <c r="C10">
        <v>835621</v>
      </c>
      <c r="D10">
        <v>773380</v>
      </c>
    </row>
    <row r="11" spans="1:4" x14ac:dyDescent="0.35">
      <c r="A11" t="s">
        <v>192</v>
      </c>
      <c r="B11">
        <v>328871</v>
      </c>
      <c r="C11">
        <v>561851</v>
      </c>
      <c r="D11">
        <v>517352</v>
      </c>
    </row>
    <row r="12" spans="1:4" x14ac:dyDescent="0.35">
      <c r="A12" t="s">
        <v>193</v>
      </c>
      <c r="B12">
        <v>11004209</v>
      </c>
      <c r="C12">
        <v>18664571</v>
      </c>
      <c r="D12">
        <v>16494837</v>
      </c>
    </row>
    <row r="13" spans="1:4" x14ac:dyDescent="0.35">
      <c r="A13" t="s">
        <v>194</v>
      </c>
      <c r="B13">
        <v>5297264</v>
      </c>
      <c r="C13">
        <v>8647469</v>
      </c>
      <c r="D13">
        <v>7760407</v>
      </c>
    </row>
    <row r="14" spans="1:4" x14ac:dyDescent="0.35">
      <c r="A14" t="s">
        <v>195</v>
      </c>
      <c r="B14">
        <v>522236</v>
      </c>
      <c r="C14">
        <v>1140526</v>
      </c>
      <c r="D14">
        <v>1038796</v>
      </c>
    </row>
    <row r="15" spans="1:4" x14ac:dyDescent="0.35">
      <c r="A15" t="s">
        <v>196</v>
      </c>
      <c r="B15">
        <v>917469</v>
      </c>
      <c r="C15">
        <v>1532761</v>
      </c>
      <c r="D15">
        <v>1446228</v>
      </c>
    </row>
    <row r="16" spans="1:4" x14ac:dyDescent="0.35">
      <c r="A16" t="s">
        <v>197</v>
      </c>
      <c r="B16">
        <v>5705246</v>
      </c>
      <c r="C16">
        <v>9862416</v>
      </c>
      <c r="D16">
        <v>9020606</v>
      </c>
    </row>
    <row r="17" spans="1:4" x14ac:dyDescent="0.35">
      <c r="A17" t="s">
        <v>198</v>
      </c>
      <c r="B17">
        <v>2976581</v>
      </c>
      <c r="C17">
        <v>5321237</v>
      </c>
      <c r="D17">
        <v>5071615</v>
      </c>
    </row>
    <row r="18" spans="1:4" x14ac:dyDescent="0.35">
      <c r="A18" t="s">
        <v>199</v>
      </c>
      <c r="B18">
        <v>1674011</v>
      </c>
      <c r="C18">
        <v>2491222</v>
      </c>
      <c r="D18">
        <v>2365182</v>
      </c>
    </row>
    <row r="19" spans="1:4" x14ac:dyDescent="0.35">
      <c r="A19" t="s">
        <v>200</v>
      </c>
      <c r="B19">
        <v>1344147</v>
      </c>
      <c r="C19">
        <v>2257952</v>
      </c>
      <c r="D19">
        <v>2127448</v>
      </c>
    </row>
    <row r="20" spans="1:4" x14ac:dyDescent="0.35">
      <c r="A20" t="s">
        <v>201</v>
      </c>
      <c r="B20">
        <v>2092872</v>
      </c>
      <c r="C20">
        <v>3531795</v>
      </c>
      <c r="D20">
        <v>3365030</v>
      </c>
    </row>
    <row r="21" spans="1:4" x14ac:dyDescent="0.35">
      <c r="A21" t="s">
        <v>202</v>
      </c>
      <c r="B21">
        <v>2021164</v>
      </c>
      <c r="C21">
        <v>3500993</v>
      </c>
      <c r="D21">
        <v>3325888</v>
      </c>
    </row>
    <row r="22" spans="1:4" x14ac:dyDescent="0.35">
      <c r="A22" t="s">
        <v>203</v>
      </c>
      <c r="B22">
        <v>842447</v>
      </c>
      <c r="C22">
        <v>1157850</v>
      </c>
      <c r="D22">
        <v>1134693</v>
      </c>
    </row>
    <row r="23" spans="1:4" x14ac:dyDescent="0.35">
      <c r="A23" t="s">
        <v>204</v>
      </c>
      <c r="B23">
        <v>3062527</v>
      </c>
      <c r="C23">
        <v>4845926</v>
      </c>
      <c r="D23">
        <v>4419071</v>
      </c>
    </row>
    <row r="24" spans="1:4" x14ac:dyDescent="0.35">
      <c r="A24" t="s">
        <v>205</v>
      </c>
      <c r="B24">
        <v>3512930</v>
      </c>
      <c r="C24">
        <v>5695621</v>
      </c>
      <c r="D24">
        <v>5163699</v>
      </c>
    </row>
    <row r="25" spans="1:4" x14ac:dyDescent="0.35">
      <c r="A25" t="s">
        <v>206</v>
      </c>
      <c r="B25">
        <v>5706503</v>
      </c>
      <c r="C25">
        <v>7959215</v>
      </c>
      <c r="D25">
        <v>7645405</v>
      </c>
    </row>
    <row r="26" spans="1:4" x14ac:dyDescent="0.35">
      <c r="A26" t="s">
        <v>207</v>
      </c>
      <c r="B26">
        <v>3272414</v>
      </c>
      <c r="C26">
        <v>4479893</v>
      </c>
      <c r="D26">
        <v>4285809</v>
      </c>
    </row>
    <row r="27" spans="1:4" x14ac:dyDescent="0.35">
      <c r="A27" t="s">
        <v>208</v>
      </c>
      <c r="B27">
        <v>1250000</v>
      </c>
      <c r="C27">
        <v>2268545</v>
      </c>
      <c r="D27">
        <v>2175783</v>
      </c>
    </row>
    <row r="28" spans="1:4" x14ac:dyDescent="0.35">
      <c r="A28" t="s">
        <v>209</v>
      </c>
      <c r="B28">
        <v>3000000</v>
      </c>
      <c r="C28">
        <v>4856207</v>
      </c>
      <c r="D28">
        <v>4662988</v>
      </c>
    </row>
    <row r="29" spans="1:4" x14ac:dyDescent="0.35">
      <c r="A29" t="s">
        <v>210</v>
      </c>
      <c r="B29">
        <v>612423</v>
      </c>
      <c r="C29">
        <v>911605</v>
      </c>
      <c r="D29">
        <v>897964</v>
      </c>
    </row>
    <row r="30" spans="1:4" x14ac:dyDescent="0.35">
      <c r="A30" t="s">
        <v>211</v>
      </c>
      <c r="B30">
        <v>965236</v>
      </c>
      <c r="C30">
        <v>1512908</v>
      </c>
      <c r="D30">
        <v>1420287</v>
      </c>
    </row>
    <row r="31" spans="1:4" x14ac:dyDescent="0.35">
      <c r="A31" t="s">
        <v>212</v>
      </c>
      <c r="B31">
        <v>1487887</v>
      </c>
      <c r="C31">
        <v>2541020</v>
      </c>
      <c r="D31">
        <v>2261177</v>
      </c>
    </row>
    <row r="32" spans="1:4" x14ac:dyDescent="0.35">
      <c r="A32" t="s">
        <v>213</v>
      </c>
      <c r="B32">
        <v>831467</v>
      </c>
      <c r="C32">
        <v>1158408</v>
      </c>
      <c r="D32">
        <v>1122920</v>
      </c>
    </row>
    <row r="33" spans="1:4" x14ac:dyDescent="0.35">
      <c r="A33" t="s">
        <v>214</v>
      </c>
      <c r="B33">
        <v>4321921</v>
      </c>
      <c r="C33">
        <v>7330478</v>
      </c>
      <c r="D33">
        <v>6428021</v>
      </c>
    </row>
    <row r="34" spans="1:4" x14ac:dyDescent="0.35">
      <c r="A34" t="s">
        <v>215</v>
      </c>
      <c r="B34">
        <v>928290</v>
      </c>
      <c r="C34">
        <v>1675845</v>
      </c>
      <c r="D34">
        <v>1558389</v>
      </c>
    </row>
    <row r="35" spans="1:4" x14ac:dyDescent="0.35">
      <c r="A35" t="s">
        <v>216</v>
      </c>
      <c r="B35">
        <v>8381429</v>
      </c>
      <c r="C35">
        <v>15566053</v>
      </c>
      <c r="D35">
        <v>13867180</v>
      </c>
    </row>
    <row r="36" spans="1:4" x14ac:dyDescent="0.35">
      <c r="A36" t="s">
        <v>217</v>
      </c>
      <c r="B36">
        <v>5723987</v>
      </c>
      <c r="C36">
        <v>8674601</v>
      </c>
      <c r="D36">
        <v>8140132</v>
      </c>
    </row>
    <row r="37" spans="1:4" x14ac:dyDescent="0.35">
      <c r="A37" t="s">
        <v>218</v>
      </c>
      <c r="B37">
        <v>371975</v>
      </c>
      <c r="C37">
        <v>605359</v>
      </c>
      <c r="D37">
        <v>589501</v>
      </c>
    </row>
    <row r="38" spans="1:4" x14ac:dyDescent="0.35">
      <c r="A38" t="s">
        <v>219</v>
      </c>
      <c r="B38">
        <v>5851387</v>
      </c>
      <c r="C38">
        <v>9261250</v>
      </c>
      <c r="D38">
        <v>8947886</v>
      </c>
    </row>
    <row r="39" spans="1:4" x14ac:dyDescent="0.35">
      <c r="A39" t="s">
        <v>220</v>
      </c>
      <c r="B39">
        <v>1575000</v>
      </c>
      <c r="C39">
        <v>3131836</v>
      </c>
      <c r="D39">
        <v>2956347</v>
      </c>
    </row>
    <row r="40" spans="1:4" x14ac:dyDescent="0.35">
      <c r="A40" t="s">
        <v>221</v>
      </c>
      <c r="B40">
        <v>2308256</v>
      </c>
      <c r="C40">
        <v>3412120</v>
      </c>
      <c r="D40">
        <v>3208533</v>
      </c>
    </row>
    <row r="41" spans="1:4" x14ac:dyDescent="0.35">
      <c r="A41" t="s">
        <v>222</v>
      </c>
      <c r="B41">
        <v>7075000</v>
      </c>
      <c r="C41">
        <v>10350349</v>
      </c>
      <c r="D41">
        <v>9904635</v>
      </c>
    </row>
    <row r="42" spans="1:4" x14ac:dyDescent="0.35">
      <c r="A42" t="s">
        <v>223</v>
      </c>
      <c r="B42">
        <v>523402</v>
      </c>
      <c r="C42">
        <v>897523</v>
      </c>
      <c r="D42">
        <v>827146</v>
      </c>
    </row>
    <row r="43" spans="1:4" x14ac:dyDescent="0.35">
      <c r="A43" t="s">
        <v>224</v>
      </c>
      <c r="B43">
        <v>2566404</v>
      </c>
      <c r="C43">
        <v>4337447</v>
      </c>
      <c r="D43">
        <v>4129733</v>
      </c>
    </row>
    <row r="44" spans="1:4" x14ac:dyDescent="0.35">
      <c r="A44" t="s">
        <v>225</v>
      </c>
      <c r="B44">
        <v>436478</v>
      </c>
      <c r="C44">
        <v>709340</v>
      </c>
      <c r="D44">
        <v>681957</v>
      </c>
    </row>
    <row r="45" spans="1:4" x14ac:dyDescent="0.35">
      <c r="A45" t="s">
        <v>226</v>
      </c>
      <c r="B45">
        <v>3080000</v>
      </c>
      <c r="C45">
        <v>5651068</v>
      </c>
      <c r="D45">
        <v>5345960</v>
      </c>
    </row>
    <row r="46" spans="1:4" x14ac:dyDescent="0.35">
      <c r="A46" t="s">
        <v>227</v>
      </c>
      <c r="B46">
        <v>11400000</v>
      </c>
      <c r="C46">
        <v>23513616</v>
      </c>
      <c r="D46">
        <v>20152824</v>
      </c>
    </row>
    <row r="47" spans="1:4" x14ac:dyDescent="0.35">
      <c r="A47" t="s">
        <v>228</v>
      </c>
      <c r="B47">
        <v>1525885</v>
      </c>
      <c r="C47">
        <v>2545169</v>
      </c>
      <c r="D47">
        <v>2378578</v>
      </c>
    </row>
    <row r="48" spans="1:4" x14ac:dyDescent="0.35">
      <c r="A48" t="s">
        <v>229</v>
      </c>
      <c r="B48">
        <v>372885</v>
      </c>
      <c r="C48">
        <v>535384</v>
      </c>
      <c r="D48">
        <v>526015</v>
      </c>
    </row>
    <row r="49" spans="1:4" x14ac:dyDescent="0.35">
      <c r="A49" t="s">
        <v>230</v>
      </c>
      <c r="B49">
        <v>4537976</v>
      </c>
      <c r="C49">
        <v>6891962</v>
      </c>
      <c r="D49">
        <v>6374775</v>
      </c>
    </row>
    <row r="50" spans="1:4" x14ac:dyDescent="0.35">
      <c r="A50" t="s">
        <v>231</v>
      </c>
      <c r="B50">
        <v>3961569</v>
      </c>
      <c r="C50">
        <v>6226585</v>
      </c>
      <c r="D50">
        <v>5645581</v>
      </c>
    </row>
    <row r="51" spans="1:4" x14ac:dyDescent="0.35">
      <c r="A51" t="s">
        <v>232</v>
      </c>
      <c r="B51">
        <v>770587</v>
      </c>
      <c r="C51">
        <v>1416183</v>
      </c>
      <c r="D51">
        <v>1389555</v>
      </c>
    </row>
    <row r="52" spans="1:4" x14ac:dyDescent="0.35">
      <c r="A52" t="s">
        <v>233</v>
      </c>
      <c r="B52">
        <v>3437142</v>
      </c>
      <c r="C52">
        <v>4704055</v>
      </c>
      <c r="D52">
        <v>4484824</v>
      </c>
    </row>
    <row r="53" spans="1:4" x14ac:dyDescent="0.35">
      <c r="A53" t="s">
        <v>234</v>
      </c>
      <c r="B53">
        <v>271123</v>
      </c>
      <c r="C53">
        <v>459772</v>
      </c>
      <c r="D53">
        <v>442437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CBAA-12F3-47EF-8DC5-05AA0B6EF1E3}">
  <dimension ref="A1:W62"/>
  <sheetViews>
    <sheetView topLeftCell="A36" workbookViewId="0">
      <selection activeCell="Q4" sqref="Q4:Q59"/>
    </sheetView>
  </sheetViews>
  <sheetFormatPr defaultRowHeight="14.5" x14ac:dyDescent="0.35"/>
  <sheetData>
    <row r="1" spans="1:23" x14ac:dyDescent="0.35">
      <c r="A1" s="1" t="s">
        <v>7</v>
      </c>
      <c r="B1" s="33" t="s">
        <v>9</v>
      </c>
      <c r="C1" s="33"/>
      <c r="D1" s="33"/>
      <c r="E1" s="33" t="s">
        <v>11</v>
      </c>
      <c r="F1" s="33"/>
      <c r="G1" s="33"/>
      <c r="H1" s="33" t="s">
        <v>13</v>
      </c>
      <c r="I1" s="33"/>
      <c r="J1" s="33"/>
      <c r="K1" s="33" t="s">
        <v>15</v>
      </c>
      <c r="L1" s="33"/>
      <c r="M1" s="33"/>
      <c r="N1" s="33" t="s">
        <v>17</v>
      </c>
      <c r="O1" s="33"/>
      <c r="P1" s="33"/>
      <c r="Q1" s="33" t="s">
        <v>19</v>
      </c>
      <c r="R1" s="33"/>
      <c r="S1" s="33"/>
      <c r="T1" s="33" t="s">
        <v>20</v>
      </c>
      <c r="U1" s="33"/>
      <c r="V1" s="3" t="s">
        <v>20</v>
      </c>
      <c r="W1" s="3" t="s">
        <v>22</v>
      </c>
    </row>
    <row r="2" spans="1:23" x14ac:dyDescent="0.35">
      <c r="A2" s="1" t="s">
        <v>8</v>
      </c>
      <c r="B2" s="33" t="s">
        <v>10</v>
      </c>
      <c r="C2" s="33"/>
      <c r="D2" s="33"/>
      <c r="E2" s="33" t="s">
        <v>12</v>
      </c>
      <c r="F2" s="33"/>
      <c r="G2" s="33"/>
      <c r="H2" s="33" t="s">
        <v>14</v>
      </c>
      <c r="I2" s="33"/>
      <c r="J2" s="33"/>
      <c r="K2" s="33" t="s">
        <v>16</v>
      </c>
      <c r="L2" s="33"/>
      <c r="M2" s="33"/>
      <c r="N2" s="33" t="s">
        <v>18</v>
      </c>
      <c r="O2" s="33"/>
      <c r="P2" s="33"/>
      <c r="Q2" s="33"/>
      <c r="R2" s="33"/>
      <c r="S2" s="33"/>
      <c r="T2" s="33"/>
      <c r="U2" s="33"/>
      <c r="V2" s="4" t="s">
        <v>21</v>
      </c>
      <c r="W2" s="3" t="s">
        <v>23</v>
      </c>
    </row>
    <row r="3" spans="1:23" x14ac:dyDescent="0.35">
      <c r="A3" s="2"/>
      <c r="B3" s="3" t="s">
        <v>24</v>
      </c>
      <c r="C3" s="3" t="s">
        <v>25</v>
      </c>
      <c r="D3" s="1" t="s">
        <v>26</v>
      </c>
      <c r="E3" s="3" t="s">
        <v>24</v>
      </c>
      <c r="F3" s="3" t="s">
        <v>25</v>
      </c>
      <c r="G3" s="1" t="s">
        <v>26</v>
      </c>
      <c r="H3" s="3" t="s">
        <v>24</v>
      </c>
      <c r="I3" s="3" t="s">
        <v>25</v>
      </c>
      <c r="J3" s="1" t="s">
        <v>26</v>
      </c>
      <c r="K3" s="3" t="s">
        <v>24</v>
      </c>
      <c r="L3" s="3" t="s">
        <v>25</v>
      </c>
      <c r="M3" s="1" t="s">
        <v>26</v>
      </c>
      <c r="N3" s="3" t="s">
        <v>24</v>
      </c>
      <c r="O3" s="3" t="s">
        <v>25</v>
      </c>
      <c r="P3" s="1" t="s">
        <v>26</v>
      </c>
      <c r="Q3" s="3" t="s">
        <v>24</v>
      </c>
      <c r="R3" s="3" t="s">
        <v>25</v>
      </c>
      <c r="S3" s="1" t="s">
        <v>26</v>
      </c>
      <c r="T3" s="3" t="s">
        <v>24</v>
      </c>
      <c r="U3" s="3" t="s">
        <v>25</v>
      </c>
      <c r="V3" s="3" t="s">
        <v>25</v>
      </c>
      <c r="W3" s="3"/>
    </row>
    <row r="4" spans="1:23" x14ac:dyDescent="0.35">
      <c r="A4" s="5" t="s">
        <v>27</v>
      </c>
      <c r="B4" s="6">
        <v>1462616</v>
      </c>
      <c r="C4" s="7">
        <v>0.64570000000000005</v>
      </c>
      <c r="D4" s="8">
        <v>9</v>
      </c>
      <c r="E4" s="9">
        <v>772412</v>
      </c>
      <c r="F4" s="10">
        <v>0.34100000000000003</v>
      </c>
      <c r="G4" s="8" t="s">
        <v>28</v>
      </c>
      <c r="H4" s="9">
        <v>4319</v>
      </c>
      <c r="I4" s="10">
        <v>1.9E-3</v>
      </c>
      <c r="J4" s="8" t="s">
        <v>28</v>
      </c>
      <c r="K4" s="9">
        <v>12075</v>
      </c>
      <c r="L4" s="10">
        <v>5.3E-3</v>
      </c>
      <c r="M4" s="8" t="s">
        <v>28</v>
      </c>
      <c r="N4" s="9">
        <v>4930</v>
      </c>
      <c r="O4" s="10">
        <v>2.2000000000000001E-3</v>
      </c>
      <c r="P4" s="8" t="s">
        <v>28</v>
      </c>
      <c r="Q4" s="9">
        <v>8738</v>
      </c>
      <c r="R4" s="10">
        <v>3.8999999999999998E-3</v>
      </c>
      <c r="S4" s="8" t="s">
        <v>28</v>
      </c>
      <c r="T4" s="9">
        <v>690204</v>
      </c>
      <c r="U4" s="10">
        <v>0.30470000000000003</v>
      </c>
      <c r="V4" s="10">
        <v>5.0099999999999999E-2</v>
      </c>
      <c r="W4" s="9">
        <v>2265090</v>
      </c>
    </row>
    <row r="5" spans="1:23" x14ac:dyDescent="0.35">
      <c r="A5" s="5" t="s">
        <v>29</v>
      </c>
      <c r="B5" s="6">
        <v>184458</v>
      </c>
      <c r="C5" s="7">
        <v>0.5454</v>
      </c>
      <c r="D5" s="8">
        <v>3</v>
      </c>
      <c r="E5" s="9">
        <v>140026</v>
      </c>
      <c r="F5" s="10">
        <v>0.41410000000000002</v>
      </c>
      <c r="G5" s="8" t="s">
        <v>28</v>
      </c>
      <c r="H5" s="9">
        <v>2342</v>
      </c>
      <c r="I5" s="10">
        <v>6.8999999999999999E-3</v>
      </c>
      <c r="J5" s="8" t="s">
        <v>28</v>
      </c>
      <c r="K5" s="9">
        <v>5670</v>
      </c>
      <c r="L5" s="10">
        <v>1.6799999999999999E-2</v>
      </c>
      <c r="M5" s="8" t="s">
        <v>28</v>
      </c>
      <c r="N5" s="9">
        <v>3040</v>
      </c>
      <c r="O5" s="10">
        <v>8.9999999999999993E-3</v>
      </c>
      <c r="P5" s="8" t="s">
        <v>28</v>
      </c>
      <c r="Q5" s="9">
        <v>2641</v>
      </c>
      <c r="R5" s="10">
        <v>7.7999999999999996E-3</v>
      </c>
      <c r="S5" s="8" t="s">
        <v>28</v>
      </c>
      <c r="T5" s="9">
        <v>44432</v>
      </c>
      <c r="U5" s="10">
        <v>0.1313</v>
      </c>
      <c r="V5" s="10">
        <v>3.0700000000000002E-2</v>
      </c>
      <c r="W5" s="9">
        <v>338177</v>
      </c>
    </row>
    <row r="6" spans="1:23" x14ac:dyDescent="0.35">
      <c r="A6" s="5" t="s">
        <v>30</v>
      </c>
      <c r="B6" s="6">
        <v>1770242</v>
      </c>
      <c r="C6" s="7">
        <v>0.5222</v>
      </c>
      <c r="D6" s="8">
        <v>11</v>
      </c>
      <c r="E6" s="9">
        <v>1582860</v>
      </c>
      <c r="F6" s="10">
        <v>0.46689999999999998</v>
      </c>
      <c r="G6" s="8" t="s">
        <v>28</v>
      </c>
      <c r="H6" s="9">
        <v>18319</v>
      </c>
      <c r="I6" s="10">
        <v>5.4000000000000003E-3</v>
      </c>
      <c r="J6" s="8" t="s">
        <v>28</v>
      </c>
      <c r="K6" s="8" t="s">
        <v>28</v>
      </c>
      <c r="L6" s="8" t="s">
        <v>28</v>
      </c>
      <c r="M6" s="8" t="s">
        <v>28</v>
      </c>
      <c r="N6" s="9">
        <v>17898</v>
      </c>
      <c r="O6" s="10">
        <v>5.3E-3</v>
      </c>
      <c r="P6" s="8" t="s">
        <v>28</v>
      </c>
      <c r="Q6" s="8">
        <v>842</v>
      </c>
      <c r="R6" s="10">
        <v>2.0000000000000001E-4</v>
      </c>
      <c r="S6" s="8" t="s">
        <v>28</v>
      </c>
      <c r="T6" s="9">
        <v>187382</v>
      </c>
      <c r="U6" s="10">
        <v>5.5300000000000002E-2</v>
      </c>
      <c r="V6" s="10">
        <v>5.8400000000000001E-2</v>
      </c>
      <c r="W6" s="9">
        <v>3390161</v>
      </c>
    </row>
    <row r="7" spans="1:23" x14ac:dyDescent="0.35">
      <c r="A7" s="5" t="s">
        <v>31</v>
      </c>
      <c r="B7" s="6">
        <v>759241</v>
      </c>
      <c r="C7" s="7">
        <v>0.64200000000000002</v>
      </c>
      <c r="D7" s="8">
        <v>6</v>
      </c>
      <c r="E7" s="9">
        <v>396905</v>
      </c>
      <c r="F7" s="10">
        <v>0.33560000000000001</v>
      </c>
      <c r="G7" s="8" t="s">
        <v>28</v>
      </c>
      <c r="H7" s="9">
        <v>4275</v>
      </c>
      <c r="I7" s="10">
        <v>3.5999999999999999E-3</v>
      </c>
      <c r="J7" s="8" t="s">
        <v>28</v>
      </c>
      <c r="K7" s="9">
        <v>13255</v>
      </c>
      <c r="L7" s="10">
        <v>1.12E-2</v>
      </c>
      <c r="M7" s="8" t="s">
        <v>28</v>
      </c>
      <c r="N7" s="9">
        <v>5715</v>
      </c>
      <c r="O7" s="10">
        <v>4.7999999999999996E-3</v>
      </c>
      <c r="P7" s="8" t="s">
        <v>28</v>
      </c>
      <c r="Q7" s="9">
        <v>3285</v>
      </c>
      <c r="R7" s="10">
        <v>2.8E-3</v>
      </c>
      <c r="S7" s="8" t="s">
        <v>28</v>
      </c>
      <c r="T7" s="9">
        <v>362336</v>
      </c>
      <c r="U7" s="10">
        <v>0.30640000000000001</v>
      </c>
      <c r="V7" s="10">
        <v>3.0200000000000001E-2</v>
      </c>
      <c r="W7" s="9">
        <v>1182676</v>
      </c>
    </row>
    <row r="8" spans="1:23" x14ac:dyDescent="0.35">
      <c r="A8" s="11" t="s">
        <v>32</v>
      </c>
      <c r="B8" s="12">
        <v>6081697</v>
      </c>
      <c r="C8" s="13">
        <v>0.38329999999999997</v>
      </c>
      <c r="D8" s="14" t="s">
        <v>28</v>
      </c>
      <c r="E8" s="15">
        <v>9276179</v>
      </c>
      <c r="F8" s="16">
        <v>0.5847</v>
      </c>
      <c r="G8" s="14">
        <v>54</v>
      </c>
      <c r="H8" s="12">
        <v>167814</v>
      </c>
      <c r="I8" s="13">
        <v>1.06E-2</v>
      </c>
      <c r="J8" s="14" t="s">
        <v>28</v>
      </c>
      <c r="K8" s="12">
        <v>197645</v>
      </c>
      <c r="L8" s="13">
        <v>1.2500000000000001E-2</v>
      </c>
      <c r="M8" s="14" t="s">
        <v>28</v>
      </c>
      <c r="N8" s="12">
        <v>66662</v>
      </c>
      <c r="O8" s="13">
        <v>4.1999999999999997E-3</v>
      </c>
      <c r="P8" s="14" t="s">
        <v>28</v>
      </c>
      <c r="Q8" s="12">
        <v>75478</v>
      </c>
      <c r="R8" s="13">
        <v>4.7999999999999996E-3</v>
      </c>
      <c r="S8" s="14" t="s">
        <v>28</v>
      </c>
      <c r="T8" s="14" t="s">
        <v>33</v>
      </c>
      <c r="U8" s="14" t="s">
        <v>34</v>
      </c>
      <c r="V8" s="13">
        <v>9.0200000000000002E-2</v>
      </c>
      <c r="W8" s="12">
        <v>15865475</v>
      </c>
    </row>
    <row r="9" spans="1:23" x14ac:dyDescent="0.35">
      <c r="A9" s="11" t="s">
        <v>35</v>
      </c>
      <c r="B9" s="12">
        <v>1377441</v>
      </c>
      <c r="C9" s="13">
        <v>0.43140000000000001</v>
      </c>
      <c r="D9" s="14" t="s">
        <v>28</v>
      </c>
      <c r="E9" s="15">
        <v>1728159</v>
      </c>
      <c r="F9" s="16">
        <v>0.5413</v>
      </c>
      <c r="G9" s="14">
        <v>10</v>
      </c>
      <c r="H9" s="12">
        <v>17344</v>
      </c>
      <c r="I9" s="13">
        <v>5.4000000000000003E-3</v>
      </c>
      <c r="J9" s="14" t="s">
        <v>28</v>
      </c>
      <c r="K9" s="12">
        <v>35623</v>
      </c>
      <c r="L9" s="13">
        <v>1.12E-2</v>
      </c>
      <c r="M9" s="14" t="s">
        <v>28</v>
      </c>
      <c r="N9" s="12">
        <v>21439</v>
      </c>
      <c r="O9" s="13">
        <v>6.7000000000000002E-3</v>
      </c>
      <c r="P9" s="14" t="s">
        <v>28</v>
      </c>
      <c r="Q9" s="12">
        <v>12739</v>
      </c>
      <c r="R9" s="13">
        <v>4.0000000000000001E-3</v>
      </c>
      <c r="S9" s="14" t="s">
        <v>28</v>
      </c>
      <c r="T9" s="14" t="s">
        <v>36</v>
      </c>
      <c r="U9" s="14" t="s">
        <v>37</v>
      </c>
      <c r="V9" s="13">
        <v>2.5100000000000001E-2</v>
      </c>
      <c r="W9" s="12">
        <v>3192745</v>
      </c>
    </row>
    <row r="10" spans="1:23" ht="18" x14ac:dyDescent="0.35">
      <c r="A10" s="11" t="s">
        <v>38</v>
      </c>
      <c r="B10" s="12">
        <v>736918</v>
      </c>
      <c r="C10" s="13">
        <v>0.41889999999999999</v>
      </c>
      <c r="D10" s="14" t="s">
        <v>28</v>
      </c>
      <c r="E10" s="15">
        <v>992053</v>
      </c>
      <c r="F10" s="16">
        <v>0.56399999999999995</v>
      </c>
      <c r="G10" s="14">
        <v>7</v>
      </c>
      <c r="H10" s="12">
        <v>14281</v>
      </c>
      <c r="I10" s="13">
        <v>8.0999999999999996E-3</v>
      </c>
      <c r="J10" s="14" t="s">
        <v>28</v>
      </c>
      <c r="K10" s="12">
        <v>8448</v>
      </c>
      <c r="L10" s="13">
        <v>4.7999999999999996E-3</v>
      </c>
      <c r="M10" s="14" t="s">
        <v>28</v>
      </c>
      <c r="N10" s="12">
        <v>6729</v>
      </c>
      <c r="O10" s="13">
        <v>3.8E-3</v>
      </c>
      <c r="P10" s="14" t="s">
        <v>28</v>
      </c>
      <c r="Q10" s="14">
        <v>581</v>
      </c>
      <c r="R10" s="13">
        <v>2.9999999999999997E-4</v>
      </c>
      <c r="S10" s="14" t="s">
        <v>28</v>
      </c>
      <c r="T10" s="14" t="s">
        <v>39</v>
      </c>
      <c r="U10" s="14" t="s">
        <v>40</v>
      </c>
      <c r="V10" s="13">
        <v>5.5599999999999997E-2</v>
      </c>
      <c r="W10" s="12">
        <v>1759010</v>
      </c>
    </row>
    <row r="11" spans="1:23" ht="18" x14ac:dyDescent="0.35">
      <c r="A11" s="11" t="s">
        <v>41</v>
      </c>
      <c r="B11" s="12">
        <v>214351</v>
      </c>
      <c r="C11" s="13">
        <v>0.41789999999999999</v>
      </c>
      <c r="D11" s="14" t="s">
        <v>28</v>
      </c>
      <c r="E11" s="15">
        <v>289758</v>
      </c>
      <c r="F11" s="16">
        <v>0.56489999999999996</v>
      </c>
      <c r="G11" s="14">
        <v>3</v>
      </c>
      <c r="H11" s="14">
        <v>914</v>
      </c>
      <c r="I11" s="13">
        <v>1.8E-3</v>
      </c>
      <c r="J11" s="14" t="s">
        <v>28</v>
      </c>
      <c r="K11" s="12">
        <v>4636</v>
      </c>
      <c r="L11" s="13">
        <v>8.9999999999999993E-3</v>
      </c>
      <c r="M11" s="14" t="s">
        <v>28</v>
      </c>
      <c r="N11" s="12">
        <v>2038</v>
      </c>
      <c r="O11" s="13">
        <v>4.0000000000000001E-3</v>
      </c>
      <c r="P11" s="14" t="s">
        <v>28</v>
      </c>
      <c r="Q11" s="12">
        <v>1215</v>
      </c>
      <c r="R11" s="13">
        <v>2.3999999999999998E-3</v>
      </c>
      <c r="S11" s="14" t="s">
        <v>28</v>
      </c>
      <c r="T11" s="14" t="s">
        <v>42</v>
      </c>
      <c r="U11" s="14" t="s">
        <v>43</v>
      </c>
      <c r="V11" s="13">
        <v>4.2700000000000002E-2</v>
      </c>
      <c r="W11" s="12">
        <v>512912</v>
      </c>
    </row>
    <row r="12" spans="1:23" ht="18" x14ac:dyDescent="0.35">
      <c r="A12" s="11" t="s">
        <v>44</v>
      </c>
      <c r="B12" s="12">
        <v>21076</v>
      </c>
      <c r="C12" s="13">
        <v>6.4699999999999994E-2</v>
      </c>
      <c r="D12" s="14" t="s">
        <v>28</v>
      </c>
      <c r="E12" s="15">
        <v>294185</v>
      </c>
      <c r="F12" s="16">
        <v>0.90280000000000005</v>
      </c>
      <c r="G12" s="14">
        <v>3</v>
      </c>
      <c r="H12" s="14" t="s">
        <v>28</v>
      </c>
      <c r="I12" s="14" t="s">
        <v>28</v>
      </c>
      <c r="J12" s="14" t="s">
        <v>28</v>
      </c>
      <c r="K12" s="12">
        <v>2778</v>
      </c>
      <c r="L12" s="13">
        <v>8.5000000000000006E-3</v>
      </c>
      <c r="M12" s="14" t="s">
        <v>28</v>
      </c>
      <c r="N12" s="14" t="s">
        <v>28</v>
      </c>
      <c r="O12" s="14" t="s">
        <v>28</v>
      </c>
      <c r="P12" s="14" t="s">
        <v>28</v>
      </c>
      <c r="Q12" s="12">
        <v>7830</v>
      </c>
      <c r="R12" s="13">
        <v>2.4E-2</v>
      </c>
      <c r="S12" s="14" t="s">
        <v>28</v>
      </c>
      <c r="T12" s="14" t="s">
        <v>45</v>
      </c>
      <c r="U12" s="14" t="s">
        <v>46</v>
      </c>
      <c r="V12" s="13">
        <v>2.9399999999999999E-2</v>
      </c>
      <c r="W12" s="12">
        <v>325869</v>
      </c>
    </row>
    <row r="13" spans="1:23" x14ac:dyDescent="0.35">
      <c r="A13" s="5" t="s">
        <v>47</v>
      </c>
      <c r="B13" s="6">
        <v>6110125</v>
      </c>
      <c r="C13" s="7">
        <v>0.56089999999999995</v>
      </c>
      <c r="D13" s="8">
        <v>30</v>
      </c>
      <c r="E13" s="9">
        <v>4683038</v>
      </c>
      <c r="F13" s="10">
        <v>0.4299</v>
      </c>
      <c r="G13" s="8" t="s">
        <v>28</v>
      </c>
      <c r="H13" s="9">
        <v>43155</v>
      </c>
      <c r="I13" s="10">
        <v>4.0000000000000001E-3</v>
      </c>
      <c r="J13" s="8" t="s">
        <v>28</v>
      </c>
      <c r="K13" s="8" t="s">
        <v>28</v>
      </c>
      <c r="L13" s="8" t="s">
        <v>28</v>
      </c>
      <c r="M13" s="8" t="s">
        <v>28</v>
      </c>
      <c r="N13" s="9">
        <v>31972</v>
      </c>
      <c r="O13" s="10">
        <v>2.8999999999999998E-3</v>
      </c>
      <c r="P13" s="8" t="s">
        <v>28</v>
      </c>
      <c r="Q13" s="9">
        <v>25462</v>
      </c>
      <c r="R13" s="10">
        <v>2.3E-3</v>
      </c>
      <c r="S13" s="8" t="s">
        <v>28</v>
      </c>
      <c r="T13" s="9">
        <v>1427087</v>
      </c>
      <c r="U13" s="10">
        <v>0.13100000000000001</v>
      </c>
      <c r="V13" s="10">
        <v>9.74E-2</v>
      </c>
      <c r="W13" s="9">
        <v>10893752</v>
      </c>
    </row>
    <row r="14" spans="1:23" x14ac:dyDescent="0.35">
      <c r="A14" s="5" t="s">
        <v>48</v>
      </c>
      <c r="B14" s="6">
        <v>2663117</v>
      </c>
      <c r="C14" s="7">
        <v>0.50719999999999998</v>
      </c>
      <c r="D14" s="8">
        <v>16</v>
      </c>
      <c r="E14" s="9">
        <v>2548017</v>
      </c>
      <c r="F14" s="10">
        <v>0.48530000000000001</v>
      </c>
      <c r="G14" s="8" t="s">
        <v>28</v>
      </c>
      <c r="H14" s="9">
        <v>18229</v>
      </c>
      <c r="I14" s="10">
        <v>3.5000000000000001E-3</v>
      </c>
      <c r="J14" s="8" t="s">
        <v>28</v>
      </c>
      <c r="K14" s="8" t="s">
        <v>28</v>
      </c>
      <c r="L14" s="8" t="s">
        <v>28</v>
      </c>
      <c r="M14" s="8" t="s">
        <v>28</v>
      </c>
      <c r="N14" s="9">
        <v>20684</v>
      </c>
      <c r="O14" s="10">
        <v>3.8999999999999998E-3</v>
      </c>
      <c r="P14" s="8" t="s">
        <v>28</v>
      </c>
      <c r="Q14" s="8">
        <v>858</v>
      </c>
      <c r="R14" s="10">
        <v>2.0000000000000001E-4</v>
      </c>
      <c r="S14" s="8" t="s">
        <v>28</v>
      </c>
      <c r="T14" s="9">
        <v>115100</v>
      </c>
      <c r="U14" s="10">
        <v>2.1899999999999999E-2</v>
      </c>
      <c r="V14" s="10">
        <v>2.4199999999999999E-2</v>
      </c>
      <c r="W14" s="9">
        <v>5250905</v>
      </c>
    </row>
    <row r="15" spans="1:23" x14ac:dyDescent="0.35">
      <c r="A15" s="11" t="s">
        <v>49</v>
      </c>
      <c r="B15" s="12">
        <v>193661</v>
      </c>
      <c r="C15" s="13">
        <v>0.37480000000000002</v>
      </c>
      <c r="D15" s="14" t="s">
        <v>28</v>
      </c>
      <c r="E15" s="15">
        <v>313044</v>
      </c>
      <c r="F15" s="16">
        <v>0.60589999999999999</v>
      </c>
      <c r="G15" s="14">
        <v>4</v>
      </c>
      <c r="H15" s="12">
        <v>4387</v>
      </c>
      <c r="I15" s="13">
        <v>8.5000000000000006E-3</v>
      </c>
      <c r="J15" s="14" t="s">
        <v>28</v>
      </c>
      <c r="K15" s="14" t="s">
        <v>28</v>
      </c>
      <c r="L15" s="14" t="s">
        <v>28</v>
      </c>
      <c r="M15" s="14" t="s">
        <v>28</v>
      </c>
      <c r="N15" s="12">
        <v>2733</v>
      </c>
      <c r="O15" s="13">
        <v>5.3E-3</v>
      </c>
      <c r="P15" s="14" t="s">
        <v>28</v>
      </c>
      <c r="Q15" s="12">
        <v>2876</v>
      </c>
      <c r="R15" s="13">
        <v>5.5999999999999999E-3</v>
      </c>
      <c r="S15" s="14" t="s">
        <v>28</v>
      </c>
      <c r="T15" s="14" t="s">
        <v>50</v>
      </c>
      <c r="U15" s="14" t="s">
        <v>51</v>
      </c>
      <c r="V15" s="13">
        <v>6.3500000000000001E-2</v>
      </c>
      <c r="W15" s="12">
        <v>516701</v>
      </c>
    </row>
    <row r="16" spans="1:23" x14ac:dyDescent="0.35">
      <c r="A16" s="5" t="s">
        <v>52</v>
      </c>
      <c r="B16" s="6">
        <v>605246</v>
      </c>
      <c r="C16" s="7">
        <v>0.66869999999999996</v>
      </c>
      <c r="D16" s="8">
        <v>4</v>
      </c>
      <c r="E16" s="9">
        <v>274972</v>
      </c>
      <c r="F16" s="10">
        <v>0.30380000000000001</v>
      </c>
      <c r="G16" s="8" t="s">
        <v>28</v>
      </c>
      <c r="H16" s="9">
        <v>2973</v>
      </c>
      <c r="I16" s="10">
        <v>3.3E-3</v>
      </c>
      <c r="J16" s="8" t="s">
        <v>28</v>
      </c>
      <c r="K16" s="9">
        <v>12812</v>
      </c>
      <c r="L16" s="10">
        <v>1.4200000000000001E-2</v>
      </c>
      <c r="M16" s="8" t="s">
        <v>28</v>
      </c>
      <c r="N16" s="9">
        <v>4462</v>
      </c>
      <c r="O16" s="10">
        <v>4.8999999999999998E-3</v>
      </c>
      <c r="P16" s="8" t="s">
        <v>28</v>
      </c>
      <c r="Q16" s="9">
        <v>4592</v>
      </c>
      <c r="R16" s="10">
        <v>5.1000000000000004E-3</v>
      </c>
      <c r="S16" s="8" t="s">
        <v>28</v>
      </c>
      <c r="T16" s="9">
        <v>330274</v>
      </c>
      <c r="U16" s="10">
        <v>0.3649</v>
      </c>
      <c r="V16" s="10">
        <v>5.7200000000000001E-2</v>
      </c>
      <c r="W16" s="9">
        <v>905057</v>
      </c>
    </row>
    <row r="17" spans="1:23" x14ac:dyDescent="0.35">
      <c r="A17" s="11" t="s">
        <v>53</v>
      </c>
      <c r="B17" s="12">
        <v>2449079</v>
      </c>
      <c r="C17" s="13">
        <v>0.43469999999999998</v>
      </c>
      <c r="D17" s="14" t="s">
        <v>28</v>
      </c>
      <c r="E17" s="15">
        <v>3062863</v>
      </c>
      <c r="F17" s="16">
        <v>0.54369999999999996</v>
      </c>
      <c r="G17" s="14">
        <v>19</v>
      </c>
      <c r="H17" s="12">
        <v>31023</v>
      </c>
      <c r="I17" s="13">
        <v>5.4999999999999997E-3</v>
      </c>
      <c r="J17" s="14" t="s">
        <v>28</v>
      </c>
      <c r="K17" s="12">
        <v>80426</v>
      </c>
      <c r="L17" s="13">
        <v>1.43E-2</v>
      </c>
      <c r="M17" s="14" t="s">
        <v>28</v>
      </c>
      <c r="N17" s="12">
        <v>3510</v>
      </c>
      <c r="O17" s="13">
        <v>5.9999999999999995E-4</v>
      </c>
      <c r="P17" s="14" t="s">
        <v>28</v>
      </c>
      <c r="Q17" s="12">
        <v>6409</v>
      </c>
      <c r="R17" s="13">
        <v>1.1000000000000001E-3</v>
      </c>
      <c r="S17" s="14" t="s">
        <v>28</v>
      </c>
      <c r="T17" s="14" t="s">
        <v>54</v>
      </c>
      <c r="U17" s="14" t="s">
        <v>55</v>
      </c>
      <c r="V17" s="13">
        <v>6.0900000000000003E-2</v>
      </c>
      <c r="W17" s="12">
        <v>5633310</v>
      </c>
    </row>
    <row r="18" spans="1:23" x14ac:dyDescent="0.35">
      <c r="A18" s="5" t="s">
        <v>56</v>
      </c>
      <c r="B18" s="6">
        <v>1720347</v>
      </c>
      <c r="C18" s="7">
        <v>0.58579999999999999</v>
      </c>
      <c r="D18" s="8">
        <v>11</v>
      </c>
      <c r="E18" s="9">
        <v>1163603</v>
      </c>
      <c r="F18" s="10">
        <v>0.3962</v>
      </c>
      <c r="G18" s="8" t="s">
        <v>28</v>
      </c>
      <c r="H18" s="8" t="s">
        <v>28</v>
      </c>
      <c r="I18" s="8" t="s">
        <v>28</v>
      </c>
      <c r="J18" s="8" t="s">
        <v>28</v>
      </c>
      <c r="K18" s="9">
        <v>29325</v>
      </c>
      <c r="L18" s="10">
        <v>0.01</v>
      </c>
      <c r="M18" s="8" t="s">
        <v>28</v>
      </c>
      <c r="N18" s="9">
        <v>20425</v>
      </c>
      <c r="O18" s="10">
        <v>7.0000000000000001E-3</v>
      </c>
      <c r="P18" s="8" t="s">
        <v>28</v>
      </c>
      <c r="Q18" s="9">
        <v>2977</v>
      </c>
      <c r="R18" s="10">
        <v>1E-3</v>
      </c>
      <c r="S18" s="8" t="s">
        <v>28</v>
      </c>
      <c r="T18" s="9">
        <v>556744</v>
      </c>
      <c r="U18" s="10">
        <v>0.18959999999999999</v>
      </c>
      <c r="V18" s="10">
        <v>2.8899999999999999E-2</v>
      </c>
      <c r="W18" s="9">
        <v>2936677</v>
      </c>
    </row>
    <row r="19" spans="1:23" x14ac:dyDescent="0.35">
      <c r="A19" s="5" t="s">
        <v>57</v>
      </c>
      <c r="B19" s="6">
        <v>927019</v>
      </c>
      <c r="C19" s="7">
        <v>0.55730000000000002</v>
      </c>
      <c r="D19" s="8">
        <v>6</v>
      </c>
      <c r="E19" s="9">
        <v>707278</v>
      </c>
      <c r="F19" s="10">
        <v>0.42520000000000002</v>
      </c>
      <c r="G19" s="8" t="s">
        <v>28</v>
      </c>
      <c r="H19" s="8" t="s">
        <v>28</v>
      </c>
      <c r="I19" s="8" t="s">
        <v>28</v>
      </c>
      <c r="J19" s="8" t="s">
        <v>28</v>
      </c>
      <c r="K19" s="9">
        <v>13122</v>
      </c>
      <c r="L19" s="10">
        <v>7.9000000000000008E-3</v>
      </c>
      <c r="M19" s="8" t="s">
        <v>28</v>
      </c>
      <c r="N19" s="9">
        <v>7218</v>
      </c>
      <c r="O19" s="10">
        <v>4.3E-3</v>
      </c>
      <c r="P19" s="8" t="s">
        <v>28</v>
      </c>
      <c r="Q19" s="9">
        <v>8869</v>
      </c>
      <c r="R19" s="10">
        <v>5.3E-3</v>
      </c>
      <c r="S19" s="8" t="s">
        <v>28</v>
      </c>
      <c r="T19" s="9">
        <v>219741</v>
      </c>
      <c r="U19" s="10">
        <v>0.1321</v>
      </c>
      <c r="V19" s="10">
        <v>5.0099999999999999E-2</v>
      </c>
      <c r="W19" s="9">
        <v>1663506</v>
      </c>
    </row>
    <row r="20" spans="1:23" x14ac:dyDescent="0.35">
      <c r="A20" s="5" t="s">
        <v>58</v>
      </c>
      <c r="B20" s="6">
        <v>758802</v>
      </c>
      <c r="C20" s="7">
        <v>0.5716</v>
      </c>
      <c r="D20" s="8">
        <v>6</v>
      </c>
      <c r="E20" s="9">
        <v>544853</v>
      </c>
      <c r="F20" s="10">
        <v>0.41039999999999999</v>
      </c>
      <c r="G20" s="8" t="s">
        <v>28</v>
      </c>
      <c r="H20" s="8" t="s">
        <v>28</v>
      </c>
      <c r="I20" s="8" t="s">
        <v>28</v>
      </c>
      <c r="J20" s="8" t="s">
        <v>28</v>
      </c>
      <c r="K20" s="9">
        <v>16322</v>
      </c>
      <c r="L20" s="10">
        <v>1.23E-2</v>
      </c>
      <c r="M20" s="8" t="s">
        <v>28</v>
      </c>
      <c r="N20" s="9">
        <v>7614</v>
      </c>
      <c r="O20" s="10">
        <v>5.7000000000000002E-3</v>
      </c>
      <c r="P20" s="8" t="s">
        <v>28</v>
      </c>
      <c r="Q20" s="8" t="s">
        <v>28</v>
      </c>
      <c r="R20" s="8" t="s">
        <v>28</v>
      </c>
      <c r="S20" s="8" t="s">
        <v>28</v>
      </c>
      <c r="T20" s="9">
        <v>213949</v>
      </c>
      <c r="U20" s="10">
        <v>0.16120000000000001</v>
      </c>
      <c r="V20" s="10">
        <v>1.4800000000000001E-2</v>
      </c>
      <c r="W20" s="9">
        <v>1327591</v>
      </c>
    </row>
    <row r="21" spans="1:23" x14ac:dyDescent="0.35">
      <c r="A21" s="5" t="s">
        <v>59</v>
      </c>
      <c r="B21" s="6">
        <v>1337494</v>
      </c>
      <c r="C21" s="7">
        <v>0.64470000000000005</v>
      </c>
      <c r="D21" s="8">
        <v>8</v>
      </c>
      <c r="E21" s="9">
        <v>704043</v>
      </c>
      <c r="F21" s="10">
        <v>0.33939999999999998</v>
      </c>
      <c r="G21" s="8" t="s">
        <v>28</v>
      </c>
      <c r="H21" s="9">
        <v>7566</v>
      </c>
      <c r="I21" s="10">
        <v>3.5999999999999999E-3</v>
      </c>
      <c r="J21" s="8" t="s">
        <v>28</v>
      </c>
      <c r="K21" s="9">
        <v>16769</v>
      </c>
      <c r="L21" s="10">
        <v>8.0999999999999996E-3</v>
      </c>
      <c r="M21" s="8" t="s">
        <v>28</v>
      </c>
      <c r="N21" s="9">
        <v>6422</v>
      </c>
      <c r="O21" s="10">
        <v>3.0999999999999999E-3</v>
      </c>
      <c r="P21" s="8" t="s">
        <v>28</v>
      </c>
      <c r="Q21" s="9">
        <v>2236</v>
      </c>
      <c r="R21" s="10">
        <v>1.1000000000000001E-3</v>
      </c>
      <c r="S21" s="8" t="s">
        <v>28</v>
      </c>
      <c r="T21" s="9">
        <v>633451</v>
      </c>
      <c r="U21" s="10">
        <v>0.30530000000000002</v>
      </c>
      <c r="V21" s="10">
        <v>4.5900000000000003E-2</v>
      </c>
      <c r="W21" s="9">
        <v>2074530</v>
      </c>
    </row>
    <row r="22" spans="1:23" x14ac:dyDescent="0.35">
      <c r="A22" s="5" t="s">
        <v>60</v>
      </c>
      <c r="B22" s="6">
        <v>1208505</v>
      </c>
      <c r="C22" s="7">
        <v>0.60219999999999996</v>
      </c>
      <c r="D22" s="8">
        <v>8</v>
      </c>
      <c r="E22" s="9">
        <v>766870</v>
      </c>
      <c r="F22" s="10">
        <v>0.3821</v>
      </c>
      <c r="G22" s="8" t="s">
        <v>28</v>
      </c>
      <c r="H22" s="9">
        <v>7138</v>
      </c>
      <c r="I22" s="10">
        <v>3.5999999999999999E-3</v>
      </c>
      <c r="J22" s="8" t="s">
        <v>28</v>
      </c>
      <c r="K22" s="9">
        <v>6641</v>
      </c>
      <c r="L22" s="10">
        <v>3.0000000000000001E-3</v>
      </c>
      <c r="M22" s="8" t="s">
        <v>28</v>
      </c>
      <c r="N22" s="9">
        <v>6835</v>
      </c>
      <c r="O22" s="10">
        <v>3.3999999999999998E-3</v>
      </c>
      <c r="P22" s="8" t="s">
        <v>28</v>
      </c>
      <c r="Q22" s="9">
        <v>10986</v>
      </c>
      <c r="R22" s="10">
        <v>5.4999999999999997E-3</v>
      </c>
      <c r="S22" s="8" t="s">
        <v>28</v>
      </c>
      <c r="T22" s="9">
        <v>441635</v>
      </c>
      <c r="U22" s="10">
        <v>0.22009999999999999</v>
      </c>
      <c r="V22" s="10">
        <v>3.4000000000000002E-2</v>
      </c>
      <c r="W22" s="9">
        <v>2006975</v>
      </c>
    </row>
    <row r="23" spans="1:23" x14ac:dyDescent="0.35">
      <c r="A23" s="17" t="s">
        <v>61</v>
      </c>
      <c r="B23" s="12">
        <v>377977</v>
      </c>
      <c r="C23" s="13">
        <v>0.4546</v>
      </c>
      <c r="D23" s="14" t="s">
        <v>28</v>
      </c>
      <c r="E23" s="15">
        <v>435652</v>
      </c>
      <c r="F23" s="16">
        <v>0.52400000000000002</v>
      </c>
      <c r="G23" s="14">
        <v>2</v>
      </c>
      <c r="H23" s="12">
        <v>8967</v>
      </c>
      <c r="I23" s="13">
        <v>1.0800000000000001E-2</v>
      </c>
      <c r="J23" s="14" t="s">
        <v>28</v>
      </c>
      <c r="K23" s="14" t="s">
        <v>28</v>
      </c>
      <c r="L23" s="14" t="s">
        <v>28</v>
      </c>
      <c r="M23" s="14" t="s">
        <v>28</v>
      </c>
      <c r="N23" s="12">
        <v>5286</v>
      </c>
      <c r="O23" s="13">
        <v>6.4000000000000003E-3</v>
      </c>
      <c r="P23" s="14" t="s">
        <v>28</v>
      </c>
      <c r="Q23" s="12">
        <v>3493</v>
      </c>
      <c r="R23" s="13">
        <v>4.1999999999999997E-3</v>
      </c>
      <c r="S23" s="14" t="s">
        <v>28</v>
      </c>
      <c r="T23" s="14" t="s">
        <v>62</v>
      </c>
      <c r="U23" s="14" t="s">
        <v>63</v>
      </c>
      <c r="V23" s="13">
        <v>2.1299999999999999E-2</v>
      </c>
      <c r="W23" s="12">
        <v>831375</v>
      </c>
    </row>
    <row r="24" spans="1:23" ht="36" x14ac:dyDescent="0.35">
      <c r="A24" s="18" t="s">
        <v>64</v>
      </c>
      <c r="B24" s="19">
        <v>165214</v>
      </c>
      <c r="C24" s="20">
        <v>0.38090000000000002</v>
      </c>
      <c r="D24" s="21" t="s">
        <v>28</v>
      </c>
      <c r="E24" s="22">
        <v>258863</v>
      </c>
      <c r="F24" s="23">
        <v>0.59689999999999999</v>
      </c>
      <c r="G24" s="21">
        <v>1</v>
      </c>
      <c r="H24" s="19">
        <v>4828</v>
      </c>
      <c r="I24" s="20">
        <v>1.11E-2</v>
      </c>
      <c r="J24" s="21" t="s">
        <v>28</v>
      </c>
      <c r="K24" s="21" t="s">
        <v>28</v>
      </c>
      <c r="L24" s="21" t="s">
        <v>28</v>
      </c>
      <c r="M24" s="21" t="s">
        <v>28</v>
      </c>
      <c r="N24" s="19">
        <v>2802</v>
      </c>
      <c r="O24" s="20">
        <v>6.4999999999999997E-3</v>
      </c>
      <c r="P24" s="21" t="s">
        <v>28</v>
      </c>
      <c r="Q24" s="19">
        <v>2002</v>
      </c>
      <c r="R24" s="20">
        <v>4.5999999999999999E-3</v>
      </c>
      <c r="S24" s="21" t="s">
        <v>28</v>
      </c>
      <c r="T24" s="21" t="s">
        <v>65</v>
      </c>
      <c r="U24" s="21" t="s">
        <v>66</v>
      </c>
      <c r="V24" s="20">
        <v>1.49E-2</v>
      </c>
      <c r="W24" s="19">
        <v>433709</v>
      </c>
    </row>
    <row r="25" spans="1:23" ht="36" x14ac:dyDescent="0.35">
      <c r="A25" s="24" t="s">
        <v>67</v>
      </c>
      <c r="B25" s="25">
        <v>212763</v>
      </c>
      <c r="C25" s="26">
        <v>0.53500000000000003</v>
      </c>
      <c r="D25" s="27">
        <v>1</v>
      </c>
      <c r="E25" s="28">
        <v>176789</v>
      </c>
      <c r="F25" s="29">
        <v>0.4446</v>
      </c>
      <c r="G25" s="27" t="s">
        <v>28</v>
      </c>
      <c r="H25" s="28">
        <v>4139</v>
      </c>
      <c r="I25" s="29">
        <v>1.04E-2</v>
      </c>
      <c r="J25" s="27" t="s">
        <v>28</v>
      </c>
      <c r="K25" s="27" t="s">
        <v>28</v>
      </c>
      <c r="L25" s="27" t="s">
        <v>28</v>
      </c>
      <c r="M25" s="27" t="s">
        <v>28</v>
      </c>
      <c r="N25" s="28">
        <v>2484</v>
      </c>
      <c r="O25" s="29">
        <v>6.1999999999999998E-3</v>
      </c>
      <c r="P25" s="27" t="s">
        <v>28</v>
      </c>
      <c r="Q25" s="28">
        <v>1491</v>
      </c>
      <c r="R25" s="29">
        <v>3.7000000000000002E-3</v>
      </c>
      <c r="S25" s="27" t="s">
        <v>28</v>
      </c>
      <c r="T25" s="28">
        <v>35974</v>
      </c>
      <c r="U25" s="29">
        <v>9.0499999999999997E-2</v>
      </c>
      <c r="V25" s="29">
        <v>1.61E-2</v>
      </c>
      <c r="W25" s="28">
        <v>397666</v>
      </c>
    </row>
    <row r="26" spans="1:23" x14ac:dyDescent="0.35">
      <c r="A26" s="11" t="s">
        <v>68</v>
      </c>
      <c r="B26" s="12">
        <v>1035550</v>
      </c>
      <c r="C26" s="13">
        <v>0.34079999999999999</v>
      </c>
      <c r="D26" s="14" t="s">
        <v>28</v>
      </c>
      <c r="E26" s="15">
        <v>1902577</v>
      </c>
      <c r="F26" s="16">
        <v>0.62619999999999998</v>
      </c>
      <c r="G26" s="14">
        <v>10</v>
      </c>
      <c r="H26" s="12">
        <v>33134</v>
      </c>
      <c r="I26" s="13">
        <v>1.09E-2</v>
      </c>
      <c r="J26" s="14" t="s">
        <v>28</v>
      </c>
      <c r="K26" s="12">
        <v>28819</v>
      </c>
      <c r="L26" s="13">
        <v>9.4999999999999998E-3</v>
      </c>
      <c r="M26" s="14" t="s">
        <v>28</v>
      </c>
      <c r="N26" s="12">
        <v>15570</v>
      </c>
      <c r="O26" s="13">
        <v>5.1000000000000004E-3</v>
      </c>
      <c r="P26" s="14" t="s">
        <v>28</v>
      </c>
      <c r="Q26" s="12">
        <v>22684</v>
      </c>
      <c r="R26" s="13">
        <v>7.4999999999999997E-3</v>
      </c>
      <c r="S26" s="14" t="s">
        <v>28</v>
      </c>
      <c r="T26" s="14" t="s">
        <v>69</v>
      </c>
      <c r="U26" s="14" t="s">
        <v>70</v>
      </c>
      <c r="V26" s="13">
        <v>4.6699999999999998E-2</v>
      </c>
      <c r="W26" s="12">
        <v>3038334</v>
      </c>
    </row>
    <row r="27" spans="1:23" ht="18" x14ac:dyDescent="0.35">
      <c r="A27" s="11" t="s">
        <v>71</v>
      </c>
      <c r="B27" s="12">
        <v>1251303</v>
      </c>
      <c r="C27" s="13">
        <v>0.36020000000000002</v>
      </c>
      <c r="D27" s="14" t="s">
        <v>28</v>
      </c>
      <c r="E27" s="15">
        <v>2126518</v>
      </c>
      <c r="F27" s="16">
        <v>0.61219999999999997</v>
      </c>
      <c r="G27" s="14">
        <v>11</v>
      </c>
      <c r="H27" s="12">
        <v>26545</v>
      </c>
      <c r="I27" s="13">
        <v>7.6E-3</v>
      </c>
      <c r="J27" s="14" t="s">
        <v>28</v>
      </c>
      <c r="K27" s="14" t="s">
        <v>28</v>
      </c>
      <c r="L27" s="14" t="s">
        <v>28</v>
      </c>
      <c r="M27" s="14" t="s">
        <v>28</v>
      </c>
      <c r="N27" s="12">
        <v>17735</v>
      </c>
      <c r="O27" s="13">
        <v>5.1000000000000004E-3</v>
      </c>
      <c r="P27" s="14" t="s">
        <v>28</v>
      </c>
      <c r="Q27" s="12">
        <v>51567</v>
      </c>
      <c r="R27" s="13">
        <v>1.4800000000000001E-2</v>
      </c>
      <c r="S27" s="14" t="s">
        <v>28</v>
      </c>
      <c r="T27" s="14" t="s">
        <v>72</v>
      </c>
      <c r="U27" s="14" t="s">
        <v>73</v>
      </c>
      <c r="V27" s="13">
        <v>8.2600000000000007E-2</v>
      </c>
      <c r="W27" s="12">
        <v>3473668</v>
      </c>
    </row>
    <row r="28" spans="1:23" x14ac:dyDescent="0.35">
      <c r="A28" s="5" t="s">
        <v>74</v>
      </c>
      <c r="B28" s="6">
        <v>2816636</v>
      </c>
      <c r="C28" s="7">
        <v>0.49730000000000002</v>
      </c>
      <c r="D28" s="8">
        <v>15</v>
      </c>
      <c r="E28" s="9">
        <v>2736533</v>
      </c>
      <c r="F28" s="10">
        <v>0.48309999999999997</v>
      </c>
      <c r="G28" s="8" t="s">
        <v>28</v>
      </c>
      <c r="H28" s="9">
        <v>44607</v>
      </c>
      <c r="I28" s="10">
        <v>7.9000000000000008E-3</v>
      </c>
      <c r="J28" s="8" t="s">
        <v>28</v>
      </c>
      <c r="K28" s="9">
        <v>26785</v>
      </c>
      <c r="L28" s="10">
        <v>4.7000000000000002E-3</v>
      </c>
      <c r="M28" s="8" t="s">
        <v>28</v>
      </c>
      <c r="N28" s="9">
        <v>22440</v>
      </c>
      <c r="O28" s="10">
        <v>4.0000000000000001E-3</v>
      </c>
      <c r="P28" s="8" t="s">
        <v>28</v>
      </c>
      <c r="Q28" s="9">
        <v>17185</v>
      </c>
      <c r="R28" s="10">
        <v>3.0000000000000001E-3</v>
      </c>
      <c r="S28" s="8" t="s">
        <v>28</v>
      </c>
      <c r="T28" s="9">
        <v>80103</v>
      </c>
      <c r="U28" s="10">
        <v>1.4200000000000001E-2</v>
      </c>
      <c r="V28" s="10">
        <v>4.2000000000000003E-2</v>
      </c>
      <c r="W28" s="9">
        <v>5664186</v>
      </c>
    </row>
    <row r="29" spans="1:23" x14ac:dyDescent="0.35">
      <c r="A29" s="11" t="s">
        <v>75</v>
      </c>
      <c r="B29" s="12">
        <v>1519032</v>
      </c>
      <c r="C29" s="13">
        <v>0.46679999999999999</v>
      </c>
      <c r="D29" s="14" t="s">
        <v>28</v>
      </c>
      <c r="E29" s="15">
        <v>1656979</v>
      </c>
      <c r="F29" s="16">
        <v>0.50919999999999999</v>
      </c>
      <c r="G29" s="14">
        <v>10</v>
      </c>
      <c r="H29" s="12">
        <v>16275</v>
      </c>
      <c r="I29" s="13">
        <v>5.0000000000000001E-3</v>
      </c>
      <c r="J29" s="14" t="s">
        <v>28</v>
      </c>
      <c r="K29" s="12">
        <v>24001</v>
      </c>
      <c r="L29" s="13">
        <v>7.4000000000000003E-3</v>
      </c>
      <c r="M29" s="14" t="s">
        <v>28</v>
      </c>
      <c r="N29" s="12">
        <v>15155</v>
      </c>
      <c r="O29" s="13">
        <v>4.7000000000000002E-3</v>
      </c>
      <c r="P29" s="14" t="s">
        <v>28</v>
      </c>
      <c r="Q29" s="12">
        <v>22478</v>
      </c>
      <c r="R29" s="13">
        <v>6.8999999999999999E-3</v>
      </c>
      <c r="S29" s="14" t="s">
        <v>28</v>
      </c>
      <c r="T29" s="14" t="s">
        <v>76</v>
      </c>
      <c r="U29" s="14" t="s">
        <v>77</v>
      </c>
      <c r="V29" s="13">
        <v>2.87E-2</v>
      </c>
      <c r="W29" s="12">
        <v>3253920</v>
      </c>
    </row>
    <row r="30" spans="1:23" x14ac:dyDescent="0.35">
      <c r="A30" s="5" t="s">
        <v>78</v>
      </c>
      <c r="B30" s="6">
        <v>747744</v>
      </c>
      <c r="C30" s="7">
        <v>0.6089</v>
      </c>
      <c r="D30" s="8">
        <v>6</v>
      </c>
      <c r="E30" s="9">
        <v>466668</v>
      </c>
      <c r="F30" s="10">
        <v>0.38</v>
      </c>
      <c r="G30" s="8" t="s">
        <v>28</v>
      </c>
      <c r="H30" s="9">
        <v>1873</v>
      </c>
      <c r="I30" s="10">
        <v>1.5E-3</v>
      </c>
      <c r="J30" s="8" t="s">
        <v>28</v>
      </c>
      <c r="K30" s="9">
        <v>5387</v>
      </c>
      <c r="L30" s="10">
        <v>4.4000000000000003E-3</v>
      </c>
      <c r="M30" s="8" t="s">
        <v>28</v>
      </c>
      <c r="N30" s="9">
        <v>2536</v>
      </c>
      <c r="O30" s="10">
        <v>2.0999999999999999E-3</v>
      </c>
      <c r="P30" s="8" t="s">
        <v>28</v>
      </c>
      <c r="Q30" s="9">
        <v>3800</v>
      </c>
      <c r="R30" s="10">
        <v>3.0999999999999999E-3</v>
      </c>
      <c r="S30" s="8" t="s">
        <v>28</v>
      </c>
      <c r="T30" s="9">
        <v>281076</v>
      </c>
      <c r="U30" s="10">
        <v>0.22889999999999999</v>
      </c>
      <c r="V30" s="10">
        <v>6.3399999999999998E-2</v>
      </c>
      <c r="W30" s="9">
        <v>1228008</v>
      </c>
    </row>
    <row r="31" spans="1:23" x14ac:dyDescent="0.35">
      <c r="A31" s="5" t="s">
        <v>79</v>
      </c>
      <c r="B31" s="6">
        <v>1751986</v>
      </c>
      <c r="C31" s="7">
        <v>0.58489999999999998</v>
      </c>
      <c r="D31" s="8">
        <v>10</v>
      </c>
      <c r="E31" s="9">
        <v>1200599</v>
      </c>
      <c r="F31" s="10">
        <v>0.40079999999999999</v>
      </c>
      <c r="G31" s="8" t="s">
        <v>28</v>
      </c>
      <c r="H31" s="9">
        <v>17135</v>
      </c>
      <c r="I31" s="10">
        <v>5.7000000000000002E-3</v>
      </c>
      <c r="J31" s="8" t="s">
        <v>28</v>
      </c>
      <c r="K31" s="8" t="s">
        <v>28</v>
      </c>
      <c r="L31" s="8" t="s">
        <v>28</v>
      </c>
      <c r="M31" s="8" t="s">
        <v>28</v>
      </c>
      <c r="N31" s="9">
        <v>23876</v>
      </c>
      <c r="O31" s="10">
        <v>8.0000000000000002E-3</v>
      </c>
      <c r="P31" s="8" t="s">
        <v>28</v>
      </c>
      <c r="Q31" s="9">
        <v>1731</v>
      </c>
      <c r="R31" s="10">
        <v>5.9999999999999995E-4</v>
      </c>
      <c r="S31" s="8" t="s">
        <v>28</v>
      </c>
      <c r="T31" s="9">
        <v>551387</v>
      </c>
      <c r="U31" s="10">
        <v>0.18410000000000001</v>
      </c>
      <c r="V31" s="10">
        <v>3.0200000000000001E-2</v>
      </c>
      <c r="W31" s="9">
        <v>2995327</v>
      </c>
    </row>
    <row r="32" spans="1:23" x14ac:dyDescent="0.35">
      <c r="A32" s="5" t="s">
        <v>80</v>
      </c>
      <c r="B32" s="6">
        <v>352079</v>
      </c>
      <c r="C32" s="7">
        <v>0.58389999999999997</v>
      </c>
      <c r="D32" s="8">
        <v>4</v>
      </c>
      <c r="E32" s="9">
        <v>231906</v>
      </c>
      <c r="F32" s="10">
        <v>0.3846</v>
      </c>
      <c r="G32" s="8" t="s">
        <v>28</v>
      </c>
      <c r="H32" s="9">
        <v>2878</v>
      </c>
      <c r="I32" s="10">
        <v>4.7999999999999996E-3</v>
      </c>
      <c r="J32" s="8" t="s">
        <v>28</v>
      </c>
      <c r="K32" s="9">
        <v>11825</v>
      </c>
      <c r="L32" s="10">
        <v>1.9599999999999999E-2</v>
      </c>
      <c r="M32" s="8" t="s">
        <v>28</v>
      </c>
      <c r="N32" s="9">
        <v>4275</v>
      </c>
      <c r="O32" s="10">
        <v>7.1000000000000004E-3</v>
      </c>
      <c r="P32" s="8" t="s">
        <v>28</v>
      </c>
      <c r="Q32" s="8">
        <v>27</v>
      </c>
      <c r="R32" s="10">
        <v>4.0000000000000003E-5</v>
      </c>
      <c r="S32" s="8" t="s">
        <v>28</v>
      </c>
      <c r="T32" s="9">
        <v>120173</v>
      </c>
      <c r="U32" s="10">
        <v>0.1993</v>
      </c>
      <c r="V32" s="10">
        <v>3.56E-2</v>
      </c>
      <c r="W32" s="9">
        <v>602990</v>
      </c>
    </row>
    <row r="33" spans="1:23" ht="18" x14ac:dyDescent="0.35">
      <c r="A33" s="5" t="s">
        <v>81</v>
      </c>
      <c r="B33" s="6">
        <v>564816</v>
      </c>
      <c r="C33" s="7">
        <v>0.59319999999999995</v>
      </c>
      <c r="D33" s="8">
        <v>2</v>
      </c>
      <c r="E33" s="9">
        <v>369995</v>
      </c>
      <c r="F33" s="10">
        <v>0.3886</v>
      </c>
      <c r="G33" s="8" t="s">
        <v>28</v>
      </c>
      <c r="H33" s="9">
        <v>2887</v>
      </c>
      <c r="I33" s="10">
        <v>3.0000000000000001E-3</v>
      </c>
      <c r="J33" s="8" t="s">
        <v>28</v>
      </c>
      <c r="K33" s="8" t="s">
        <v>28</v>
      </c>
      <c r="L33" s="8" t="s">
        <v>28</v>
      </c>
      <c r="M33" s="8" t="s">
        <v>28</v>
      </c>
      <c r="N33" s="9">
        <v>6399</v>
      </c>
      <c r="O33" s="10">
        <v>6.7000000000000002E-3</v>
      </c>
      <c r="P33" s="8" t="s">
        <v>28</v>
      </c>
      <c r="Q33" s="9">
        <v>8085</v>
      </c>
      <c r="R33" s="10">
        <v>8.5000000000000006E-3</v>
      </c>
      <c r="S33" s="8" t="s">
        <v>28</v>
      </c>
      <c r="T33" s="9">
        <v>194821</v>
      </c>
      <c r="U33" s="10">
        <v>0.2046</v>
      </c>
      <c r="V33" s="10">
        <v>1.4E-2</v>
      </c>
      <c r="W33" s="9">
        <v>952182</v>
      </c>
    </row>
    <row r="34" spans="1:23" ht="45" x14ac:dyDescent="0.35">
      <c r="A34" s="24" t="s">
        <v>82</v>
      </c>
      <c r="B34" s="25">
        <v>177666</v>
      </c>
      <c r="C34" s="26">
        <v>0.55489999999999995</v>
      </c>
      <c r="D34" s="27">
        <v>1</v>
      </c>
      <c r="E34" s="28">
        <v>136153</v>
      </c>
      <c r="F34" s="29">
        <v>0.42520000000000002</v>
      </c>
      <c r="G34" s="27" t="s">
        <v>28</v>
      </c>
      <c r="H34" s="28">
        <v>1011</v>
      </c>
      <c r="I34" s="29">
        <v>3.2000000000000002E-3</v>
      </c>
      <c r="J34" s="27" t="s">
        <v>28</v>
      </c>
      <c r="K34" s="27" t="s">
        <v>28</v>
      </c>
      <c r="L34" s="27" t="s">
        <v>28</v>
      </c>
      <c r="M34" s="27" t="s">
        <v>28</v>
      </c>
      <c r="N34" s="28">
        <v>2420</v>
      </c>
      <c r="O34" s="29">
        <v>7.6E-3</v>
      </c>
      <c r="P34" s="27" t="s">
        <v>28</v>
      </c>
      <c r="Q34" s="28">
        <v>2944</v>
      </c>
      <c r="R34" s="29">
        <v>9.1999999999999998E-3</v>
      </c>
      <c r="S34" s="27" t="s">
        <v>28</v>
      </c>
      <c r="T34" s="28">
        <v>41513</v>
      </c>
      <c r="U34" s="29">
        <v>0.12959999999999999</v>
      </c>
      <c r="V34" s="29">
        <v>-1.9599999999999999E-2</v>
      </c>
      <c r="W34" s="28">
        <v>320194</v>
      </c>
    </row>
    <row r="35" spans="1:23" ht="45" x14ac:dyDescent="0.35">
      <c r="A35" s="18" t="s">
        <v>83</v>
      </c>
      <c r="B35" s="19">
        <v>148905</v>
      </c>
      <c r="C35" s="20">
        <v>0.46729999999999999</v>
      </c>
      <c r="D35" s="21" t="s">
        <v>28</v>
      </c>
      <c r="E35" s="22">
        <v>163541</v>
      </c>
      <c r="F35" s="23">
        <v>0.51319999999999999</v>
      </c>
      <c r="G35" s="21">
        <v>1</v>
      </c>
      <c r="H35" s="19">
        <v>1110</v>
      </c>
      <c r="I35" s="20">
        <v>3.5000000000000001E-3</v>
      </c>
      <c r="J35" s="21" t="s">
        <v>28</v>
      </c>
      <c r="K35" s="21" t="s">
        <v>28</v>
      </c>
      <c r="L35" s="21" t="s">
        <v>28</v>
      </c>
      <c r="M35" s="21" t="s">
        <v>28</v>
      </c>
      <c r="N35" s="19">
        <v>2001</v>
      </c>
      <c r="O35" s="20">
        <v>6.3E-3</v>
      </c>
      <c r="P35" s="21" t="s">
        <v>28</v>
      </c>
      <c r="Q35" s="19">
        <v>3089</v>
      </c>
      <c r="R35" s="20">
        <v>9.7000000000000003E-3</v>
      </c>
      <c r="S35" s="21" t="s">
        <v>28</v>
      </c>
      <c r="T35" s="19">
        <v>-14636</v>
      </c>
      <c r="U35" s="20">
        <v>-4.5900000000000003E-2</v>
      </c>
      <c r="V35" s="20">
        <v>1.9099999999999999E-2</v>
      </c>
      <c r="W35" s="19">
        <v>318646</v>
      </c>
    </row>
    <row r="36" spans="1:23" ht="45" x14ac:dyDescent="0.35">
      <c r="A36" s="24" t="s">
        <v>84</v>
      </c>
      <c r="B36" s="25">
        <v>238245</v>
      </c>
      <c r="C36" s="26">
        <v>0.76029999999999998</v>
      </c>
      <c r="D36" s="27">
        <v>1</v>
      </c>
      <c r="E36" s="28">
        <v>70301</v>
      </c>
      <c r="F36" s="29">
        <v>0.22439999999999999</v>
      </c>
      <c r="G36" s="27" t="s">
        <v>28</v>
      </c>
      <c r="H36" s="27">
        <v>766</v>
      </c>
      <c r="I36" s="29">
        <v>2.3999999999999998E-3</v>
      </c>
      <c r="J36" s="27" t="s">
        <v>28</v>
      </c>
      <c r="K36" s="27" t="s">
        <v>28</v>
      </c>
      <c r="L36" s="27" t="s">
        <v>28</v>
      </c>
      <c r="M36" s="27" t="s">
        <v>28</v>
      </c>
      <c r="N36" s="28">
        <v>1978</v>
      </c>
      <c r="O36" s="29">
        <v>6.3E-3</v>
      </c>
      <c r="P36" s="27" t="s">
        <v>28</v>
      </c>
      <c r="Q36" s="28">
        <v>2052</v>
      </c>
      <c r="R36" s="29">
        <v>6.4999999999999997E-3</v>
      </c>
      <c r="S36" s="27" t="s">
        <v>28</v>
      </c>
      <c r="T36" s="28">
        <v>167944</v>
      </c>
      <c r="U36" s="29">
        <v>0.53600000000000003</v>
      </c>
      <c r="V36" s="29">
        <v>5.7999999999999996E-3</v>
      </c>
      <c r="W36" s="28">
        <v>313342</v>
      </c>
    </row>
    <row r="37" spans="1:23" x14ac:dyDescent="0.35">
      <c r="A37" s="5" t="s">
        <v>85</v>
      </c>
      <c r="B37" s="6">
        <v>751205</v>
      </c>
      <c r="C37" s="7">
        <v>0.50590000000000002</v>
      </c>
      <c r="D37" s="8">
        <v>6</v>
      </c>
      <c r="E37" s="9">
        <v>705197</v>
      </c>
      <c r="F37" s="10">
        <v>0.47489999999999999</v>
      </c>
      <c r="G37" s="8" t="s">
        <v>28</v>
      </c>
      <c r="H37" s="8" t="s">
        <v>28</v>
      </c>
      <c r="I37" s="8" t="s">
        <v>28</v>
      </c>
      <c r="J37" s="8" t="s">
        <v>28</v>
      </c>
      <c r="K37" s="8" t="s">
        <v>28</v>
      </c>
      <c r="L37" s="8" t="s">
        <v>28</v>
      </c>
      <c r="M37" s="8" t="s">
        <v>28</v>
      </c>
      <c r="N37" s="9">
        <v>6059</v>
      </c>
      <c r="O37" s="10">
        <v>4.1000000000000003E-3</v>
      </c>
      <c r="P37" s="8" t="s">
        <v>28</v>
      </c>
      <c r="Q37" s="9">
        <v>22379</v>
      </c>
      <c r="R37" s="10">
        <v>1.5100000000000001E-2</v>
      </c>
      <c r="S37" s="8" t="s">
        <v>28</v>
      </c>
      <c r="T37" s="9">
        <v>46008</v>
      </c>
      <c r="U37" s="10">
        <v>3.1E-2</v>
      </c>
      <c r="V37" s="10">
        <v>5.4899999999999997E-2</v>
      </c>
      <c r="W37" s="9">
        <v>1484840</v>
      </c>
    </row>
    <row r="38" spans="1:23" ht="18" x14ac:dyDescent="0.35">
      <c r="A38" s="11" t="s">
        <v>86</v>
      </c>
      <c r="B38" s="12">
        <v>395523</v>
      </c>
      <c r="C38" s="13">
        <v>0.47870000000000001</v>
      </c>
      <c r="D38" s="14" t="s">
        <v>28</v>
      </c>
      <c r="E38" s="15">
        <v>418488</v>
      </c>
      <c r="F38" s="16">
        <v>0.50649999999999995</v>
      </c>
      <c r="G38" s="14">
        <v>4</v>
      </c>
      <c r="H38" s="12">
        <v>3680</v>
      </c>
      <c r="I38" s="13">
        <v>4.4999999999999997E-3</v>
      </c>
      <c r="J38" s="14" t="s">
        <v>28</v>
      </c>
      <c r="K38" s="14" t="s">
        <v>28</v>
      </c>
      <c r="L38" s="14" t="s">
        <v>28</v>
      </c>
      <c r="M38" s="14" t="s">
        <v>28</v>
      </c>
      <c r="N38" s="12">
        <v>4425</v>
      </c>
      <c r="O38" s="13">
        <v>5.4000000000000003E-3</v>
      </c>
      <c r="P38" s="14" t="s">
        <v>28</v>
      </c>
      <c r="Q38" s="12">
        <v>4073</v>
      </c>
      <c r="R38" s="13">
        <v>4.8999999999999998E-3</v>
      </c>
      <c r="S38" s="14" t="s">
        <v>28</v>
      </c>
      <c r="T38" s="14" t="s">
        <v>87</v>
      </c>
      <c r="U38" s="14" t="s">
        <v>88</v>
      </c>
      <c r="V38" s="13">
        <v>4.5699999999999998E-2</v>
      </c>
      <c r="W38" s="12">
        <v>826189</v>
      </c>
    </row>
    <row r="39" spans="1:23" x14ac:dyDescent="0.35">
      <c r="A39" s="11" t="s">
        <v>89</v>
      </c>
      <c r="B39" s="12">
        <v>1968215</v>
      </c>
      <c r="C39" s="13">
        <v>0.46060000000000001</v>
      </c>
      <c r="D39" s="14" t="s">
        <v>28</v>
      </c>
      <c r="E39" s="15">
        <v>2220713</v>
      </c>
      <c r="F39" s="16">
        <v>0.51970000000000005</v>
      </c>
      <c r="G39" s="14">
        <v>14</v>
      </c>
      <c r="H39" s="12">
        <v>39041</v>
      </c>
      <c r="I39" s="13">
        <v>9.1000000000000004E-3</v>
      </c>
      <c r="J39" s="14" t="s">
        <v>28</v>
      </c>
      <c r="K39" s="12">
        <v>23479</v>
      </c>
      <c r="L39" s="13">
        <v>5.4999999999999997E-3</v>
      </c>
      <c r="M39" s="14" t="s">
        <v>28</v>
      </c>
      <c r="N39" s="12">
        <v>10500</v>
      </c>
      <c r="O39" s="13">
        <v>2.5000000000000001E-3</v>
      </c>
      <c r="P39" s="14" t="s">
        <v>28</v>
      </c>
      <c r="Q39" s="12">
        <v>10777</v>
      </c>
      <c r="R39" s="13">
        <v>2.5000000000000001E-3</v>
      </c>
      <c r="S39" s="14" t="s">
        <v>28</v>
      </c>
      <c r="T39" s="14" t="s">
        <v>90</v>
      </c>
      <c r="U39" s="14" t="s">
        <v>91</v>
      </c>
      <c r="V39" s="13">
        <v>0.1003</v>
      </c>
      <c r="W39" s="12">
        <v>4272725</v>
      </c>
    </row>
    <row r="40" spans="1:23" x14ac:dyDescent="0.35">
      <c r="A40" s="11" t="s">
        <v>92</v>
      </c>
      <c r="B40" s="12">
        <v>423391</v>
      </c>
      <c r="C40" s="13">
        <v>0.45850000000000002</v>
      </c>
      <c r="D40" s="14" t="s">
        <v>28</v>
      </c>
      <c r="E40" s="15">
        <v>478802</v>
      </c>
      <c r="F40" s="16">
        <v>0.51849999999999996</v>
      </c>
      <c r="G40" s="14">
        <v>5</v>
      </c>
      <c r="H40" s="12">
        <v>4611</v>
      </c>
      <c r="I40" s="13">
        <v>5.0000000000000001E-3</v>
      </c>
      <c r="J40" s="14" t="s">
        <v>28</v>
      </c>
      <c r="K40" s="12">
        <v>9553</v>
      </c>
      <c r="L40" s="13">
        <v>1.03E-2</v>
      </c>
      <c r="M40" s="14" t="s">
        <v>28</v>
      </c>
      <c r="N40" s="12">
        <v>3745</v>
      </c>
      <c r="O40" s="13">
        <v>4.1000000000000003E-3</v>
      </c>
      <c r="P40" s="14" t="s">
        <v>28</v>
      </c>
      <c r="Q40" s="12">
        <v>3301</v>
      </c>
      <c r="R40" s="13">
        <v>3.5999999999999999E-3</v>
      </c>
      <c r="S40" s="14" t="s">
        <v>28</v>
      </c>
      <c r="T40" s="14" t="s">
        <v>93</v>
      </c>
      <c r="U40" s="14" t="s">
        <v>94</v>
      </c>
      <c r="V40" s="13">
        <v>4.7899999999999998E-2</v>
      </c>
      <c r="W40" s="12">
        <v>923403</v>
      </c>
    </row>
    <row r="41" spans="1:23" x14ac:dyDescent="0.35">
      <c r="A41" s="11" t="s">
        <v>95</v>
      </c>
      <c r="B41" s="12">
        <v>3578899</v>
      </c>
      <c r="C41" s="13">
        <v>0.43309999999999998</v>
      </c>
      <c r="D41" s="14" t="s">
        <v>28</v>
      </c>
      <c r="E41" s="15">
        <v>4619195</v>
      </c>
      <c r="F41" s="16">
        <v>0.55910000000000004</v>
      </c>
      <c r="G41" s="14">
        <v>28</v>
      </c>
      <c r="H41" s="12">
        <v>46698</v>
      </c>
      <c r="I41" s="13">
        <v>5.7000000000000002E-3</v>
      </c>
      <c r="J41" s="14" t="s">
        <v>28</v>
      </c>
      <c r="K41" s="14" t="s">
        <v>28</v>
      </c>
      <c r="L41" s="14" t="s">
        <v>28</v>
      </c>
      <c r="M41" s="14" t="s">
        <v>28</v>
      </c>
      <c r="N41" s="12">
        <v>5338</v>
      </c>
      <c r="O41" s="13">
        <v>5.9999999999999995E-4</v>
      </c>
      <c r="P41" s="14" t="s">
        <v>28</v>
      </c>
      <c r="Q41" s="12">
        <v>12365</v>
      </c>
      <c r="R41" s="13">
        <v>1.5E-3</v>
      </c>
      <c r="S41" s="14" t="s">
        <v>28</v>
      </c>
      <c r="T41" s="14" t="s">
        <v>96</v>
      </c>
      <c r="U41" s="14" t="s">
        <v>97</v>
      </c>
      <c r="V41" s="13">
        <v>0.1053</v>
      </c>
      <c r="W41" s="12">
        <v>8262495</v>
      </c>
    </row>
    <row r="42" spans="1:23" ht="18" x14ac:dyDescent="0.35">
      <c r="A42" s="5" t="s">
        <v>98</v>
      </c>
      <c r="B42" s="6">
        <v>2898423</v>
      </c>
      <c r="C42" s="7">
        <v>0.50860000000000005</v>
      </c>
      <c r="D42" s="8">
        <v>16</v>
      </c>
      <c r="E42" s="9">
        <v>2715375</v>
      </c>
      <c r="F42" s="10">
        <v>0.47649999999999998</v>
      </c>
      <c r="G42" s="8" t="s">
        <v>28</v>
      </c>
      <c r="H42" s="9">
        <v>24762</v>
      </c>
      <c r="I42" s="10">
        <v>4.3E-3</v>
      </c>
      <c r="J42" s="8" t="s">
        <v>28</v>
      </c>
      <c r="K42" s="8" t="s">
        <v>28</v>
      </c>
      <c r="L42" s="8" t="s">
        <v>28</v>
      </c>
      <c r="M42" s="8" t="s">
        <v>28</v>
      </c>
      <c r="N42" s="9">
        <v>22125</v>
      </c>
      <c r="O42" s="10">
        <v>3.8999999999999998E-3</v>
      </c>
      <c r="P42" s="8" t="s">
        <v>28</v>
      </c>
      <c r="Q42" s="9">
        <v>38456</v>
      </c>
      <c r="R42" s="10">
        <v>6.7000000000000002E-3</v>
      </c>
      <c r="S42" s="8" t="s">
        <v>28</v>
      </c>
      <c r="T42" s="9">
        <v>183048</v>
      </c>
      <c r="U42" s="10">
        <v>3.2099999999999997E-2</v>
      </c>
      <c r="V42" s="10">
        <v>1.8599999999999998E-2</v>
      </c>
      <c r="W42" s="9">
        <v>5699141</v>
      </c>
    </row>
    <row r="43" spans="1:23" ht="18" x14ac:dyDescent="0.35">
      <c r="A43" s="5" t="s">
        <v>99</v>
      </c>
      <c r="B43" s="6">
        <v>246505</v>
      </c>
      <c r="C43" s="7">
        <v>0.66959999999999997</v>
      </c>
      <c r="D43" s="8">
        <v>3</v>
      </c>
      <c r="E43" s="9">
        <v>112327</v>
      </c>
      <c r="F43" s="10">
        <v>0.30509999999999998</v>
      </c>
      <c r="G43" s="8" t="s">
        <v>28</v>
      </c>
      <c r="H43" s="8" t="s">
        <v>28</v>
      </c>
      <c r="I43" s="8" t="s">
        <v>28</v>
      </c>
      <c r="J43" s="8" t="s">
        <v>28</v>
      </c>
      <c r="K43" s="8" t="s">
        <v>28</v>
      </c>
      <c r="L43" s="8" t="s">
        <v>28</v>
      </c>
      <c r="M43" s="8" t="s">
        <v>28</v>
      </c>
      <c r="N43" s="9">
        <v>6227</v>
      </c>
      <c r="O43" s="10">
        <v>1.6899999999999998E-2</v>
      </c>
      <c r="P43" s="8" t="s">
        <v>28</v>
      </c>
      <c r="Q43" s="9">
        <v>3096</v>
      </c>
      <c r="R43" s="10">
        <v>8.3999999999999995E-3</v>
      </c>
      <c r="S43" s="8" t="s">
        <v>28</v>
      </c>
      <c r="T43" s="9">
        <v>134178</v>
      </c>
      <c r="U43" s="10">
        <v>0.36449999999999999</v>
      </c>
      <c r="V43" s="10">
        <v>3.1099999999999999E-2</v>
      </c>
      <c r="W43" s="9">
        <v>368155</v>
      </c>
    </row>
    <row r="44" spans="1:23" x14ac:dyDescent="0.35">
      <c r="A44" s="5" t="s">
        <v>100</v>
      </c>
      <c r="B44" s="6">
        <v>3180116</v>
      </c>
      <c r="C44" s="7">
        <v>0.5514</v>
      </c>
      <c r="D44" s="8">
        <v>17</v>
      </c>
      <c r="E44" s="9">
        <v>2533699</v>
      </c>
      <c r="F44" s="10">
        <v>0.43930000000000002</v>
      </c>
      <c r="G44" s="8" t="s">
        <v>28</v>
      </c>
      <c r="H44" s="8" t="s">
        <v>28</v>
      </c>
      <c r="I44" s="8" t="s">
        <v>28</v>
      </c>
      <c r="J44" s="8" t="s">
        <v>28</v>
      </c>
      <c r="K44" s="8" t="s">
        <v>28</v>
      </c>
      <c r="L44" s="8" t="s">
        <v>28</v>
      </c>
      <c r="M44" s="8" t="s">
        <v>28</v>
      </c>
      <c r="N44" s="9">
        <v>28200</v>
      </c>
      <c r="O44" s="10">
        <v>4.8999999999999998E-3</v>
      </c>
      <c r="P44" s="8" t="s">
        <v>28</v>
      </c>
      <c r="Q44" s="9">
        <v>25773</v>
      </c>
      <c r="R44" s="10">
        <v>4.4999999999999997E-3</v>
      </c>
      <c r="S44" s="8" t="s">
        <v>28</v>
      </c>
      <c r="T44" s="9">
        <v>646417</v>
      </c>
      <c r="U44" s="10">
        <v>0.11210000000000001</v>
      </c>
      <c r="V44" s="10">
        <v>3.1800000000000002E-2</v>
      </c>
      <c r="W44" s="9">
        <v>5767788</v>
      </c>
    </row>
    <row r="45" spans="1:23" x14ac:dyDescent="0.35">
      <c r="A45" s="5" t="s">
        <v>101</v>
      </c>
      <c r="B45" s="6">
        <v>1036213</v>
      </c>
      <c r="C45" s="7">
        <v>0.66159999999999997</v>
      </c>
      <c r="D45" s="8">
        <v>7</v>
      </c>
      <c r="E45" s="9">
        <v>499599</v>
      </c>
      <c r="F45" s="10">
        <v>0.31900000000000001</v>
      </c>
      <c r="G45" s="8" t="s">
        <v>28</v>
      </c>
      <c r="H45" s="8" t="s">
        <v>28</v>
      </c>
      <c r="I45" s="8" t="s">
        <v>28</v>
      </c>
      <c r="J45" s="8" t="s">
        <v>28</v>
      </c>
      <c r="K45" s="9">
        <v>16020</v>
      </c>
      <c r="L45" s="10">
        <v>1.0200000000000001E-2</v>
      </c>
      <c r="M45" s="8" t="s">
        <v>28</v>
      </c>
      <c r="N45" s="9">
        <v>9198</v>
      </c>
      <c r="O45" s="10">
        <v>5.8999999999999999E-3</v>
      </c>
      <c r="P45" s="8" t="s">
        <v>28</v>
      </c>
      <c r="Q45" s="9">
        <v>5143</v>
      </c>
      <c r="R45" s="10">
        <v>3.3E-3</v>
      </c>
      <c r="S45" s="8" t="s">
        <v>28</v>
      </c>
      <c r="T45" s="9">
        <v>536614</v>
      </c>
      <c r="U45" s="10">
        <v>0.34260000000000002</v>
      </c>
      <c r="V45" s="10">
        <v>1.17E-2</v>
      </c>
      <c r="W45" s="9">
        <v>1566173</v>
      </c>
    </row>
    <row r="46" spans="1:23" x14ac:dyDescent="0.35">
      <c r="A46" s="11" t="s">
        <v>102</v>
      </c>
      <c r="B46" s="12">
        <v>919480</v>
      </c>
      <c r="C46" s="13">
        <v>0.40970000000000001</v>
      </c>
      <c r="D46" s="14" t="s">
        <v>28</v>
      </c>
      <c r="E46" s="15">
        <v>1240600</v>
      </c>
      <c r="F46" s="16">
        <v>0.55269999999999997</v>
      </c>
      <c r="G46" s="14">
        <v>8</v>
      </c>
      <c r="H46" s="12">
        <v>19099</v>
      </c>
      <c r="I46" s="13">
        <v>8.5000000000000006E-3</v>
      </c>
      <c r="J46" s="14" t="s">
        <v>28</v>
      </c>
      <c r="K46" s="12">
        <v>33733</v>
      </c>
      <c r="L46" s="13">
        <v>1.4999999999999999E-2</v>
      </c>
      <c r="M46" s="14" t="s">
        <v>28</v>
      </c>
      <c r="N46" s="12">
        <v>9061</v>
      </c>
      <c r="O46" s="13">
        <v>4.0000000000000001E-3</v>
      </c>
      <c r="P46" s="14" t="s">
        <v>28</v>
      </c>
      <c r="Q46" s="12">
        <v>22520</v>
      </c>
      <c r="R46" s="13">
        <v>0.01</v>
      </c>
      <c r="S46" s="14" t="s">
        <v>28</v>
      </c>
      <c r="T46" s="14" t="s">
        <v>103</v>
      </c>
      <c r="U46" s="14" t="s">
        <v>104</v>
      </c>
      <c r="V46" s="13">
        <v>1.7899999999999999E-2</v>
      </c>
      <c r="W46" s="12">
        <v>2244493</v>
      </c>
    </row>
    <row r="47" spans="1:23" ht="18" x14ac:dyDescent="0.35">
      <c r="A47" s="5" t="s">
        <v>105</v>
      </c>
      <c r="B47" s="6">
        <v>3543308</v>
      </c>
      <c r="C47" s="7">
        <v>0.50370000000000004</v>
      </c>
      <c r="D47" s="8">
        <v>19</v>
      </c>
      <c r="E47" s="9">
        <v>3423042</v>
      </c>
      <c r="F47" s="10">
        <v>0.48659999999999998</v>
      </c>
      <c r="G47" s="8" t="s">
        <v>28</v>
      </c>
      <c r="H47" s="9">
        <v>34538</v>
      </c>
      <c r="I47" s="10">
        <v>4.8999999999999998E-3</v>
      </c>
      <c r="J47" s="8" t="s">
        <v>28</v>
      </c>
      <c r="K47" s="8" t="s">
        <v>28</v>
      </c>
      <c r="L47" s="8" t="s">
        <v>28</v>
      </c>
      <c r="M47" s="8" t="s">
        <v>28</v>
      </c>
      <c r="N47" s="9">
        <v>33318</v>
      </c>
      <c r="O47" s="10">
        <v>4.7000000000000002E-3</v>
      </c>
      <c r="P47" s="8" t="s">
        <v>28</v>
      </c>
      <c r="Q47" s="9">
        <v>24526</v>
      </c>
      <c r="R47" s="10">
        <v>3.5000000000000001E-3</v>
      </c>
      <c r="S47" s="8" t="s">
        <v>28</v>
      </c>
      <c r="T47" s="9">
        <v>120266</v>
      </c>
      <c r="U47" s="10">
        <v>1.7100000000000001E-2</v>
      </c>
      <c r="V47" s="10">
        <v>2.87E-2</v>
      </c>
      <c r="W47" s="9">
        <v>7058732</v>
      </c>
    </row>
    <row r="48" spans="1:23" ht="18" x14ac:dyDescent="0.35">
      <c r="A48" s="11" t="s">
        <v>106</v>
      </c>
      <c r="B48" s="12">
        <v>214406</v>
      </c>
      <c r="C48" s="13">
        <v>0.41760000000000003</v>
      </c>
      <c r="D48" s="14" t="s">
        <v>28</v>
      </c>
      <c r="E48" s="15">
        <v>285156</v>
      </c>
      <c r="F48" s="16">
        <v>0.5554</v>
      </c>
      <c r="G48" s="14">
        <v>4</v>
      </c>
      <c r="H48" s="12">
        <v>2900</v>
      </c>
      <c r="I48" s="13">
        <v>5.5999999999999999E-3</v>
      </c>
      <c r="J48" s="14" t="s">
        <v>28</v>
      </c>
      <c r="K48" s="12">
        <v>5045</v>
      </c>
      <c r="L48" s="13">
        <v>9.7999999999999997E-3</v>
      </c>
      <c r="M48" s="14" t="s">
        <v>28</v>
      </c>
      <c r="N48" s="12">
        <v>1617</v>
      </c>
      <c r="O48" s="13">
        <v>3.0999999999999999E-3</v>
      </c>
      <c r="P48" s="14" t="s">
        <v>28</v>
      </c>
      <c r="Q48" s="12">
        <v>4262</v>
      </c>
      <c r="R48" s="13">
        <v>8.3000000000000001E-3</v>
      </c>
      <c r="S48" s="14" t="s">
        <v>28</v>
      </c>
      <c r="T48" s="14" t="s">
        <v>107</v>
      </c>
      <c r="U48" s="14" t="s">
        <v>108</v>
      </c>
      <c r="V48" s="13">
        <v>7.0000000000000007E-2</v>
      </c>
      <c r="W48" s="12">
        <v>513386</v>
      </c>
    </row>
    <row r="49" spans="1:23" ht="18" x14ac:dyDescent="0.35">
      <c r="A49" s="5" t="s">
        <v>109</v>
      </c>
      <c r="B49" s="6">
        <v>1483747</v>
      </c>
      <c r="C49" s="7">
        <v>0.58230000000000004</v>
      </c>
      <c r="D49" s="8">
        <v>9</v>
      </c>
      <c r="E49" s="9">
        <v>1028452</v>
      </c>
      <c r="F49" s="10">
        <v>0.40360000000000001</v>
      </c>
      <c r="G49" s="8" t="s">
        <v>28</v>
      </c>
      <c r="H49" s="9">
        <v>8117</v>
      </c>
      <c r="I49" s="10">
        <v>3.2000000000000002E-3</v>
      </c>
      <c r="J49" s="8" t="s">
        <v>28</v>
      </c>
      <c r="K49" s="8" t="s">
        <v>28</v>
      </c>
      <c r="L49" s="8" t="s">
        <v>28</v>
      </c>
      <c r="M49" s="8" t="s">
        <v>28</v>
      </c>
      <c r="N49" s="9">
        <v>12669</v>
      </c>
      <c r="O49" s="10">
        <v>5.0000000000000001E-3</v>
      </c>
      <c r="P49" s="8" t="s">
        <v>28</v>
      </c>
      <c r="Q49" s="9">
        <v>15155</v>
      </c>
      <c r="R49" s="10">
        <v>5.8999999999999999E-3</v>
      </c>
      <c r="S49" s="8" t="s">
        <v>28</v>
      </c>
      <c r="T49" s="9">
        <v>455295</v>
      </c>
      <c r="U49" s="10">
        <v>0.1787</v>
      </c>
      <c r="V49" s="10">
        <v>6.1899999999999997E-2</v>
      </c>
      <c r="W49" s="9">
        <v>2548140</v>
      </c>
    </row>
    <row r="50" spans="1:23" ht="18" x14ac:dyDescent="0.35">
      <c r="A50" s="5" t="s">
        <v>110</v>
      </c>
      <c r="B50" s="6">
        <v>272081</v>
      </c>
      <c r="C50" s="7">
        <v>0.63429999999999997</v>
      </c>
      <c r="D50" s="8">
        <v>3</v>
      </c>
      <c r="E50" s="9">
        <v>146859</v>
      </c>
      <c r="F50" s="10">
        <v>0.34239999999999998</v>
      </c>
      <c r="G50" s="8" t="s">
        <v>28</v>
      </c>
      <c r="H50" s="8" t="s">
        <v>28</v>
      </c>
      <c r="I50" s="8" t="s">
        <v>28</v>
      </c>
      <c r="J50" s="8" t="s">
        <v>28</v>
      </c>
      <c r="K50" s="9">
        <v>7204</v>
      </c>
      <c r="L50" s="10">
        <v>1.6799999999999999E-2</v>
      </c>
      <c r="M50" s="8" t="s">
        <v>28</v>
      </c>
      <c r="N50" s="9">
        <v>2778</v>
      </c>
      <c r="O50" s="10">
        <v>6.4999999999999997E-3</v>
      </c>
      <c r="P50" s="8" t="s">
        <v>28</v>
      </c>
      <c r="Q50" s="8" t="s">
        <v>28</v>
      </c>
      <c r="R50" s="8" t="s">
        <v>28</v>
      </c>
      <c r="S50" s="8" t="s">
        <v>28</v>
      </c>
      <c r="T50" s="9">
        <v>125222</v>
      </c>
      <c r="U50" s="10">
        <v>0.29189999999999999</v>
      </c>
      <c r="V50" s="10">
        <v>3.0300000000000001E-2</v>
      </c>
      <c r="W50" s="9">
        <v>428922</v>
      </c>
    </row>
    <row r="51" spans="1:23" x14ac:dyDescent="0.35">
      <c r="A51" s="5" t="s">
        <v>111</v>
      </c>
      <c r="B51" s="6">
        <v>1966865</v>
      </c>
      <c r="C51" s="7">
        <v>0.64190000000000003</v>
      </c>
      <c r="D51" s="8">
        <v>11</v>
      </c>
      <c r="E51" s="9">
        <v>1056265</v>
      </c>
      <c r="F51" s="10">
        <v>0.34470000000000001</v>
      </c>
      <c r="G51" s="8" t="s">
        <v>28</v>
      </c>
      <c r="H51" s="9">
        <v>8967</v>
      </c>
      <c r="I51" s="10">
        <v>2.8999999999999998E-3</v>
      </c>
      <c r="J51" s="8" t="s">
        <v>28</v>
      </c>
      <c r="K51" s="9">
        <v>21535</v>
      </c>
      <c r="L51" s="10">
        <v>7.0000000000000001E-3</v>
      </c>
      <c r="M51" s="8" t="s">
        <v>28</v>
      </c>
      <c r="N51" s="8" t="s">
        <v>28</v>
      </c>
      <c r="O51" s="8" t="s">
        <v>28</v>
      </c>
      <c r="P51" s="8" t="s">
        <v>28</v>
      </c>
      <c r="Q51" s="9">
        <v>10310</v>
      </c>
      <c r="R51" s="10">
        <v>3.3999999999999998E-3</v>
      </c>
      <c r="S51" s="8" t="s">
        <v>28</v>
      </c>
      <c r="T51" s="9">
        <v>910600</v>
      </c>
      <c r="U51" s="10">
        <v>0.29720000000000002</v>
      </c>
      <c r="V51" s="10">
        <v>6.5100000000000005E-2</v>
      </c>
      <c r="W51" s="9">
        <v>3063942</v>
      </c>
    </row>
    <row r="52" spans="1:23" x14ac:dyDescent="0.35">
      <c r="A52" s="5" t="s">
        <v>112</v>
      </c>
      <c r="B52" s="6">
        <v>6393597</v>
      </c>
      <c r="C52" s="7">
        <v>0.56140000000000001</v>
      </c>
      <c r="D52" s="8">
        <v>40</v>
      </c>
      <c r="E52" s="9">
        <v>4835250</v>
      </c>
      <c r="F52" s="10">
        <v>0.42459999999999998</v>
      </c>
      <c r="G52" s="8" t="s">
        <v>28</v>
      </c>
      <c r="H52" s="9">
        <v>82701</v>
      </c>
      <c r="I52" s="10">
        <v>7.3000000000000001E-3</v>
      </c>
      <c r="J52" s="8" t="s">
        <v>28</v>
      </c>
      <c r="K52" s="8" t="s">
        <v>28</v>
      </c>
      <c r="L52" s="8" t="s">
        <v>28</v>
      </c>
      <c r="M52" s="8" t="s">
        <v>28</v>
      </c>
      <c r="N52" s="9">
        <v>68557</v>
      </c>
      <c r="O52" s="10">
        <v>6.0000000000000001E-3</v>
      </c>
      <c r="P52" s="8" t="s">
        <v>28</v>
      </c>
      <c r="Q52" s="9">
        <v>8569</v>
      </c>
      <c r="R52" s="10">
        <v>8.0000000000000004E-4</v>
      </c>
      <c r="S52" s="8" t="s">
        <v>28</v>
      </c>
      <c r="T52" s="9">
        <v>1558347</v>
      </c>
      <c r="U52" s="10">
        <v>0.1368</v>
      </c>
      <c r="V52" s="10">
        <v>8.1000000000000003E-2</v>
      </c>
      <c r="W52" s="9">
        <v>11388674</v>
      </c>
    </row>
    <row r="53" spans="1:23" x14ac:dyDescent="0.35">
      <c r="A53" s="5" t="s">
        <v>113</v>
      </c>
      <c r="B53" s="6">
        <v>883818</v>
      </c>
      <c r="C53" s="7">
        <v>0.59379999999999999</v>
      </c>
      <c r="D53" s="8">
        <v>6</v>
      </c>
      <c r="E53" s="9">
        <v>562566</v>
      </c>
      <c r="F53" s="10">
        <v>0.37790000000000001</v>
      </c>
      <c r="G53" s="8" t="s">
        <v>28</v>
      </c>
      <c r="H53" s="9">
        <v>8222</v>
      </c>
      <c r="I53" s="10">
        <v>5.4999999999999997E-3</v>
      </c>
      <c r="J53" s="8" t="s">
        <v>28</v>
      </c>
      <c r="K53" s="8" t="s">
        <v>28</v>
      </c>
      <c r="L53" s="8" t="s">
        <v>28</v>
      </c>
      <c r="M53" s="8" t="s">
        <v>28</v>
      </c>
      <c r="N53" s="9">
        <v>16902</v>
      </c>
      <c r="O53" s="10">
        <v>1.14E-2</v>
      </c>
      <c r="P53" s="8" t="s">
        <v>28</v>
      </c>
      <c r="Q53" s="9">
        <v>16986</v>
      </c>
      <c r="R53" s="10">
        <v>1.14E-2</v>
      </c>
      <c r="S53" s="8" t="s">
        <v>28</v>
      </c>
      <c r="T53" s="9">
        <v>321252</v>
      </c>
      <c r="U53" s="10">
        <v>0.21590000000000001</v>
      </c>
      <c r="V53" s="10">
        <v>1.11E-2</v>
      </c>
      <c r="W53" s="9">
        <v>1488494</v>
      </c>
    </row>
    <row r="54" spans="1:23" x14ac:dyDescent="0.35">
      <c r="A54" s="11" t="s">
        <v>114</v>
      </c>
      <c r="B54" s="12">
        <v>119395</v>
      </c>
      <c r="C54" s="13">
        <v>0.32319999999999999</v>
      </c>
      <c r="D54" s="14" t="s">
        <v>28</v>
      </c>
      <c r="E54" s="15">
        <v>235791</v>
      </c>
      <c r="F54" s="16">
        <v>0.63829999999999998</v>
      </c>
      <c r="G54" s="14">
        <v>3</v>
      </c>
      <c r="H54" s="14">
        <v>893</v>
      </c>
      <c r="I54" s="13">
        <v>2.3999999999999998E-3</v>
      </c>
      <c r="J54" s="14" t="s">
        <v>28</v>
      </c>
      <c r="K54" s="12">
        <v>5905</v>
      </c>
      <c r="L54" s="13">
        <v>1.6E-2</v>
      </c>
      <c r="M54" s="14" t="s">
        <v>28</v>
      </c>
      <c r="N54" s="12">
        <v>1828</v>
      </c>
      <c r="O54" s="13">
        <v>4.8999999999999998E-3</v>
      </c>
      <c r="P54" s="14" t="s">
        <v>28</v>
      </c>
      <c r="Q54" s="12">
        <v>5610</v>
      </c>
      <c r="R54" s="13">
        <v>1.52E-2</v>
      </c>
      <c r="S54" s="14" t="s">
        <v>28</v>
      </c>
      <c r="T54" s="14" t="s">
        <v>115</v>
      </c>
      <c r="U54" s="14" t="s">
        <v>116</v>
      </c>
      <c r="V54" s="13">
        <v>3.9E-2</v>
      </c>
      <c r="W54" s="12">
        <v>369422</v>
      </c>
    </row>
    <row r="55" spans="1:23" x14ac:dyDescent="0.35">
      <c r="A55" s="11" t="s">
        <v>117</v>
      </c>
      <c r="B55" s="12">
        <v>2075085</v>
      </c>
      <c r="C55" s="13">
        <v>0.46050000000000002</v>
      </c>
      <c r="D55" s="14" t="s">
        <v>28</v>
      </c>
      <c r="E55" s="15">
        <v>2335395</v>
      </c>
      <c r="F55" s="16">
        <v>0.51829999999999998</v>
      </c>
      <c r="G55" s="14">
        <v>13</v>
      </c>
      <c r="H55" s="12">
        <v>34888</v>
      </c>
      <c r="I55" s="13">
        <v>7.7000000000000002E-3</v>
      </c>
      <c r="J55" s="14" t="s">
        <v>28</v>
      </c>
      <c r="K55" s="14" t="s">
        <v>28</v>
      </c>
      <c r="L55" s="14" t="s">
        <v>28</v>
      </c>
      <c r="M55" s="14" t="s">
        <v>28</v>
      </c>
      <c r="N55" s="12">
        <v>19814</v>
      </c>
      <c r="O55" s="13">
        <v>4.4000000000000003E-3</v>
      </c>
      <c r="P55" s="14" t="s">
        <v>28</v>
      </c>
      <c r="Q55" s="12">
        <v>40759</v>
      </c>
      <c r="R55" s="13">
        <v>8.9999999999999993E-3</v>
      </c>
      <c r="S55" s="14" t="s">
        <v>28</v>
      </c>
      <c r="T55" s="14" t="s">
        <v>118</v>
      </c>
      <c r="U55" s="14" t="s">
        <v>119</v>
      </c>
      <c r="V55" s="13">
        <v>4.3499999999999997E-2</v>
      </c>
      <c r="W55" s="12">
        <v>4505941</v>
      </c>
    </row>
    <row r="56" spans="1:23" ht="18" x14ac:dyDescent="0.35">
      <c r="A56" s="11" t="s">
        <v>120</v>
      </c>
      <c r="B56" s="12">
        <v>1530923</v>
      </c>
      <c r="C56" s="13">
        <v>0.3901</v>
      </c>
      <c r="D56" s="14" t="s">
        <v>28</v>
      </c>
      <c r="E56" s="15">
        <v>2245849</v>
      </c>
      <c r="F56" s="16">
        <v>0.57230000000000003</v>
      </c>
      <c r="G56" s="14">
        <v>12</v>
      </c>
      <c r="H56" s="12">
        <v>29754</v>
      </c>
      <c r="I56" s="13">
        <v>7.6E-3</v>
      </c>
      <c r="J56" s="14" t="s">
        <v>28</v>
      </c>
      <c r="K56" s="12">
        <v>54868</v>
      </c>
      <c r="L56" s="13">
        <v>1.4E-2</v>
      </c>
      <c r="M56" s="14" t="s">
        <v>28</v>
      </c>
      <c r="N56" s="12">
        <v>16428</v>
      </c>
      <c r="O56" s="13">
        <v>4.1999999999999997E-3</v>
      </c>
      <c r="P56" s="14" t="s">
        <v>28</v>
      </c>
      <c r="Q56" s="12">
        <v>46421</v>
      </c>
      <c r="R56" s="13">
        <v>1.18E-2</v>
      </c>
      <c r="S56" s="14" t="s">
        <v>28</v>
      </c>
      <c r="T56" s="14" t="s">
        <v>121</v>
      </c>
      <c r="U56" s="14" t="s">
        <v>122</v>
      </c>
      <c r="V56" s="13">
        <v>9.7999999999999997E-3</v>
      </c>
      <c r="W56" s="12">
        <v>3924243</v>
      </c>
    </row>
    <row r="57" spans="1:23" ht="18" x14ac:dyDescent="0.35">
      <c r="A57" s="5" t="s">
        <v>123</v>
      </c>
      <c r="B57" s="6">
        <v>533556</v>
      </c>
      <c r="C57" s="7">
        <v>0.69969999999999999</v>
      </c>
      <c r="D57" s="8">
        <v>4</v>
      </c>
      <c r="E57" s="9">
        <v>214309</v>
      </c>
      <c r="F57" s="10">
        <v>0.28100000000000003</v>
      </c>
      <c r="G57" s="8" t="s">
        <v>28</v>
      </c>
      <c r="H57" s="9">
        <v>2531</v>
      </c>
      <c r="I57" s="10">
        <v>3.3E-3</v>
      </c>
      <c r="J57" s="8" t="s">
        <v>28</v>
      </c>
      <c r="K57" s="9">
        <v>8947</v>
      </c>
      <c r="L57" s="10">
        <v>1.17E-2</v>
      </c>
      <c r="M57" s="8" t="s">
        <v>28</v>
      </c>
      <c r="N57" s="9">
        <v>3047</v>
      </c>
      <c r="O57" s="10">
        <v>4.0000000000000001E-3</v>
      </c>
      <c r="P57" s="8" t="s">
        <v>28</v>
      </c>
      <c r="Q57" s="8">
        <v>192</v>
      </c>
      <c r="R57" s="10">
        <v>2.9999999999999997E-4</v>
      </c>
      <c r="S57" s="8" t="s">
        <v>28</v>
      </c>
      <c r="T57" s="9">
        <v>319247</v>
      </c>
      <c r="U57" s="10">
        <v>0.41870000000000002</v>
      </c>
      <c r="V57" s="10">
        <v>2.9399999999999999E-2</v>
      </c>
      <c r="W57" s="9">
        <v>762582</v>
      </c>
    </row>
    <row r="58" spans="1:23" x14ac:dyDescent="0.35">
      <c r="A58" s="5" t="s">
        <v>124</v>
      </c>
      <c r="B58" s="6">
        <v>1697626</v>
      </c>
      <c r="C58" s="7">
        <v>0.496</v>
      </c>
      <c r="D58" s="8">
        <v>10</v>
      </c>
      <c r="E58" s="9">
        <v>1668229</v>
      </c>
      <c r="F58" s="10">
        <v>0.4874</v>
      </c>
      <c r="G58" s="8" t="s">
        <v>28</v>
      </c>
      <c r="H58" s="9">
        <v>12275</v>
      </c>
      <c r="I58" s="10">
        <v>3.5999999999999999E-3</v>
      </c>
      <c r="J58" s="8" t="s">
        <v>28</v>
      </c>
      <c r="K58" s="9">
        <v>17740</v>
      </c>
      <c r="L58" s="10">
        <v>5.1999999999999998E-3</v>
      </c>
      <c r="M58" s="8" t="s">
        <v>28</v>
      </c>
      <c r="N58" s="9">
        <v>10511</v>
      </c>
      <c r="O58" s="10">
        <v>3.0999999999999999E-3</v>
      </c>
      <c r="P58" s="8" t="s">
        <v>28</v>
      </c>
      <c r="Q58" s="9">
        <v>16537</v>
      </c>
      <c r="R58" s="10">
        <v>4.7999999999999996E-3</v>
      </c>
      <c r="S58" s="8" t="s">
        <v>28</v>
      </c>
      <c r="T58" s="9">
        <v>29397</v>
      </c>
      <c r="U58" s="10">
        <v>8.6E-3</v>
      </c>
      <c r="V58" s="10">
        <v>1.49E-2</v>
      </c>
      <c r="W58" s="9">
        <v>3422918</v>
      </c>
    </row>
    <row r="59" spans="1:23" x14ac:dyDescent="0.35">
      <c r="A59" s="5" t="s">
        <v>125</v>
      </c>
      <c r="B59" s="6">
        <v>192633</v>
      </c>
      <c r="C59" s="7">
        <v>0.71599999999999997</v>
      </c>
      <c r="D59" s="8">
        <v>3</v>
      </c>
      <c r="E59" s="9">
        <v>69527</v>
      </c>
      <c r="F59" s="10">
        <v>0.25840000000000002</v>
      </c>
      <c r="G59" s="8" t="s">
        <v>28</v>
      </c>
      <c r="H59" s="8" t="s">
        <v>28</v>
      </c>
      <c r="I59" s="8" t="s">
        <v>28</v>
      </c>
      <c r="J59" s="8" t="s">
        <v>28</v>
      </c>
      <c r="K59" s="8" t="s">
        <v>28</v>
      </c>
      <c r="L59" s="8" t="s">
        <v>28</v>
      </c>
      <c r="M59" s="8" t="s">
        <v>28</v>
      </c>
      <c r="N59" s="9">
        <v>4193</v>
      </c>
      <c r="O59" s="10">
        <v>1.5599999999999999E-2</v>
      </c>
      <c r="P59" s="8" t="s">
        <v>28</v>
      </c>
      <c r="Q59" s="9">
        <v>2695</v>
      </c>
      <c r="R59" s="10">
        <v>0.01</v>
      </c>
      <c r="S59" s="8" t="s">
        <v>28</v>
      </c>
      <c r="T59" s="9">
        <v>123106</v>
      </c>
      <c r="U59" s="10">
        <v>0.45760000000000001</v>
      </c>
      <c r="V59" s="10">
        <v>2.3800000000000002E-2</v>
      </c>
      <c r="W59" s="9">
        <v>269048</v>
      </c>
    </row>
    <row r="60" spans="1:23" x14ac:dyDescent="0.35">
      <c r="A60" s="3" t="s">
        <v>22</v>
      </c>
      <c r="B60" s="30">
        <v>77302580</v>
      </c>
      <c r="C60" s="31">
        <v>0.498</v>
      </c>
      <c r="D60" s="3">
        <v>312</v>
      </c>
      <c r="E60" s="30">
        <v>75017613</v>
      </c>
      <c r="F60" s="31">
        <v>0.48320000000000002</v>
      </c>
      <c r="G60" s="3">
        <v>226</v>
      </c>
      <c r="H60" s="30">
        <v>862049</v>
      </c>
      <c r="I60" s="31">
        <v>5.5999999999999999E-3</v>
      </c>
      <c r="J60" s="32" t="s">
        <v>28</v>
      </c>
      <c r="K60" s="30">
        <v>756393</v>
      </c>
      <c r="L60" s="31">
        <v>4.8999999999999998E-3</v>
      </c>
      <c r="M60" s="32" t="s">
        <v>28</v>
      </c>
      <c r="N60" s="30">
        <v>650126</v>
      </c>
      <c r="O60" s="31">
        <v>4.1999999999999997E-3</v>
      </c>
      <c r="P60" s="32" t="s">
        <v>28</v>
      </c>
      <c r="Q60" s="30">
        <v>649541</v>
      </c>
      <c r="R60" s="31">
        <v>4.1999999999999997E-3</v>
      </c>
      <c r="S60" s="32" t="s">
        <v>28</v>
      </c>
      <c r="T60" s="30">
        <v>2284967</v>
      </c>
      <c r="U60" s="31">
        <v>1.4800000000000001E-2</v>
      </c>
      <c r="V60" s="31">
        <v>5.9400000000000001E-2</v>
      </c>
      <c r="W60" s="30">
        <v>155238302</v>
      </c>
    </row>
    <row r="61" spans="1:23" x14ac:dyDescent="0.35">
      <c r="A61" s="33"/>
      <c r="B61" s="33" t="s">
        <v>9</v>
      </c>
      <c r="C61" s="33"/>
      <c r="D61" s="33"/>
      <c r="E61" s="33" t="s">
        <v>11</v>
      </c>
      <c r="F61" s="33"/>
      <c r="G61" s="33"/>
      <c r="H61" s="33" t="s">
        <v>13</v>
      </c>
      <c r="I61" s="33"/>
      <c r="J61" s="33"/>
      <c r="K61" s="33" t="s">
        <v>15</v>
      </c>
      <c r="L61" s="33"/>
      <c r="M61" s="33"/>
      <c r="N61" s="33" t="s">
        <v>17</v>
      </c>
      <c r="O61" s="33"/>
      <c r="P61" s="33"/>
      <c r="Q61" s="33" t="s">
        <v>19</v>
      </c>
      <c r="R61" s="33"/>
      <c r="S61" s="33"/>
      <c r="T61" s="33" t="s">
        <v>20</v>
      </c>
      <c r="U61" s="33"/>
      <c r="V61" s="3" t="s">
        <v>20</v>
      </c>
      <c r="W61" s="3" t="s">
        <v>22</v>
      </c>
    </row>
    <row r="62" spans="1:23" x14ac:dyDescent="0.35">
      <c r="A62" s="33"/>
      <c r="B62" s="33" t="s">
        <v>10</v>
      </c>
      <c r="C62" s="33"/>
      <c r="D62" s="33"/>
      <c r="E62" s="33" t="s">
        <v>12</v>
      </c>
      <c r="F62" s="33"/>
      <c r="G62" s="33"/>
      <c r="H62" s="33" t="s">
        <v>14</v>
      </c>
      <c r="I62" s="33"/>
      <c r="J62" s="33"/>
      <c r="K62" s="33" t="s">
        <v>16</v>
      </c>
      <c r="L62" s="33"/>
      <c r="M62" s="33"/>
      <c r="N62" s="33" t="s">
        <v>18</v>
      </c>
      <c r="O62" s="33"/>
      <c r="P62" s="33"/>
      <c r="Q62" s="33"/>
      <c r="R62" s="33"/>
      <c r="S62" s="33"/>
      <c r="T62" s="33"/>
      <c r="U62" s="33"/>
      <c r="V62" s="3" t="s">
        <v>126</v>
      </c>
      <c r="W62" s="3" t="s">
        <v>23</v>
      </c>
    </row>
  </sheetData>
  <mergeCells count="25">
    <mergeCell ref="K61:M61"/>
    <mergeCell ref="K62:M62"/>
    <mergeCell ref="N61:P61"/>
    <mergeCell ref="N62:P62"/>
    <mergeCell ref="Q61:S62"/>
    <mergeCell ref="T61:U62"/>
    <mergeCell ref="A61:A62"/>
    <mergeCell ref="B61:D61"/>
    <mergeCell ref="B62:D62"/>
    <mergeCell ref="E61:G61"/>
    <mergeCell ref="E62:G62"/>
    <mergeCell ref="H61:J61"/>
    <mergeCell ref="H62:J62"/>
    <mergeCell ref="K1:M1"/>
    <mergeCell ref="K2:M2"/>
    <mergeCell ref="N1:P1"/>
    <mergeCell ref="N2:P2"/>
    <mergeCell ref="Q1:S2"/>
    <mergeCell ref="T1:U2"/>
    <mergeCell ref="B1:D1"/>
    <mergeCell ref="B2:D2"/>
    <mergeCell ref="E1:G1"/>
    <mergeCell ref="E2:G2"/>
    <mergeCell ref="H1:J1"/>
    <mergeCell ref="H2:J2"/>
  </mergeCells>
  <hyperlinks>
    <hyperlink ref="V2" r:id="rId1" location="cite_note-492" display="https://en.wikipedia.org/wiki/2024_United_States_presidential_election - cite_note-492" xr:uid="{F63DA003-5EB7-4385-A379-439407B7DCE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</vt:lpstr>
      <vt:lpstr>Lower48Output</vt:lpstr>
      <vt:lpstr>Voter_Turnout</vt:lpstr>
      <vt:lpstr>Wikipedia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Nolte</dc:creator>
  <cp:lastModifiedBy>Jason Nolte</cp:lastModifiedBy>
  <dcterms:created xsi:type="dcterms:W3CDTF">2025-11-12T17:24:53Z</dcterms:created>
  <dcterms:modified xsi:type="dcterms:W3CDTF">2025-11-12T19:51:35Z</dcterms:modified>
</cp:coreProperties>
</file>